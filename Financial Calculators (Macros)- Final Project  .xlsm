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5516" codeName="{FF626003-D37A-9D15-2B65-D2D8C0A508C5}"/>
  <workbookPr codeName="ThisWorkbook" autoCompressPictures="0"/>
  <bookViews>
    <workbookView xWindow="0" yWindow="-460" windowWidth="28800" windowHeight="18000" activeTab="1"/>
  </bookViews>
  <sheets>
    <sheet name="Main Page" sheetId="5" r:id="rId1"/>
    <sheet name="FV" sheetId="1" r:id="rId2"/>
    <sheet name="Bond Valuation " sheetId="8" r:id="rId3"/>
    <sheet name="DCF " sheetId="11" r:id="rId4"/>
    <sheet name="Sensitive Analysis" sheetId="10" r:id="rId5"/>
    <sheet name="Retirement Savings" sheetId="6" r:id="rId6"/>
    <sheet name="Mortgage Calculator " sheetId="7" r:id="rId7"/>
    <sheet name="Data" sheetId="4" r:id="rId8"/>
  </sheets>
  <definedNames>
    <definedName name="Annual">Data!$B$2</definedName>
    <definedName name="Annual_emloyee_conribuiton">'Retirement Savings'!$C$9</definedName>
    <definedName name="Annual_employer_contribution">'Retirement Savings'!$C$10</definedName>
    <definedName name="Annual_Salary">'Retirement Savings'!$C$8</definedName>
    <definedName name="Anticipated_annual_salary_increase">'Retirement Savings'!#REF!</definedName>
    <definedName name="Bi_monthly">Data!$B$5</definedName>
    <definedName name="Bi_weekly">Data!$B$7</definedName>
    <definedName name="contribution">Data!$A$16:$B$20</definedName>
    <definedName name="Current_age">'Retirement Savings'!$C$5</definedName>
    <definedName name="Daily">Data!$B$9</definedName>
    <definedName name="Expected_return_rate">'Retirement Savings'!#REF!</definedName>
    <definedName name="frequency">Data!$A$2:$A$10</definedName>
    <definedName name="Infinite">Data!$B$10</definedName>
    <definedName name="Monthly">Data!$B$6</definedName>
    <definedName name="Original_investment_balance">'Retirement Savings'!#REF!</definedName>
    <definedName name="period">#REF!</definedName>
    <definedName name="Periods_Year">Data!$B$2:$B$10</definedName>
    <definedName name="Quarterly">Data!$B$4</definedName>
    <definedName name="Retirement_Age">'Retirement Savings'!$C$6</definedName>
    <definedName name="Semiannual">Data!$B$3</definedName>
    <definedName name="Today_s_date">'Retirement Savings'!$C$4</definedName>
    <definedName name="Weekly">Data!$B$8</definedName>
  </definedNames>
  <calcPr calcId="140001" concurrentCalc="0"/>
  <fileRecoveryPr autoRecover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1" l="1"/>
  <c r="A25" i="4"/>
  <c r="C7" i="4"/>
  <c r="G2" i="4"/>
  <c r="E20" i="7"/>
  <c r="G3" i="4"/>
  <c r="E21" i="7"/>
  <c r="A23" i="4"/>
  <c r="C7" i="6"/>
  <c r="A12" i="10"/>
  <c r="C13" i="6"/>
  <c r="C10" i="6"/>
  <c r="C14" i="6"/>
  <c r="C15" i="6"/>
  <c r="H7" i="4"/>
  <c r="G12" i="4"/>
  <c r="H9" i="4"/>
  <c r="I12" i="4"/>
  <c r="H8" i="4"/>
  <c r="H10" i="4"/>
  <c r="H12" i="4"/>
  <c r="J12" i="4"/>
  <c r="K12" i="4"/>
  <c r="G13" i="4"/>
  <c r="I13" i="4"/>
  <c r="H13" i="4"/>
  <c r="J13" i="4"/>
  <c r="K13" i="4"/>
  <c r="G14" i="4"/>
  <c r="I14" i="4"/>
  <c r="H14" i="4"/>
  <c r="J14" i="4"/>
  <c r="K14" i="4"/>
  <c r="G15" i="4"/>
  <c r="I15" i="4"/>
  <c r="H15" i="4"/>
  <c r="J15" i="4"/>
  <c r="K15" i="4"/>
  <c r="G16" i="4"/>
  <c r="I16" i="4"/>
  <c r="H16" i="4"/>
  <c r="J16" i="4"/>
  <c r="K16" i="4"/>
  <c r="G17" i="4"/>
  <c r="I17" i="4"/>
  <c r="H17" i="4"/>
  <c r="J17" i="4"/>
  <c r="K17" i="4"/>
  <c r="G18" i="4"/>
  <c r="I18" i="4"/>
  <c r="H18" i="4"/>
  <c r="J18" i="4"/>
  <c r="K18" i="4"/>
  <c r="G19" i="4"/>
  <c r="I19" i="4"/>
  <c r="H19" i="4"/>
  <c r="J19" i="4"/>
  <c r="K19" i="4"/>
  <c r="G20" i="4"/>
  <c r="I20" i="4"/>
  <c r="H20" i="4"/>
  <c r="J20" i="4"/>
  <c r="K20" i="4"/>
  <c r="G21" i="4"/>
  <c r="I21" i="4"/>
  <c r="H21" i="4"/>
  <c r="J21" i="4"/>
  <c r="K21" i="4"/>
  <c r="G22" i="4"/>
  <c r="I22" i="4"/>
  <c r="H22" i="4"/>
  <c r="J22" i="4"/>
  <c r="K22" i="4"/>
  <c r="G23" i="4"/>
  <c r="I23" i="4"/>
  <c r="H23" i="4"/>
  <c r="J23" i="4"/>
  <c r="K23" i="4"/>
  <c r="G24" i="4"/>
  <c r="I24" i="4"/>
  <c r="H24" i="4"/>
  <c r="J24" i="4"/>
  <c r="K24" i="4"/>
  <c r="G25" i="4"/>
  <c r="I25" i="4"/>
  <c r="H25" i="4"/>
  <c r="J25" i="4"/>
  <c r="K25" i="4"/>
  <c r="G26" i="4"/>
  <c r="I26" i="4"/>
  <c r="H26" i="4"/>
  <c r="J26" i="4"/>
  <c r="K26" i="4"/>
  <c r="G27" i="4"/>
  <c r="I27" i="4"/>
  <c r="H27" i="4"/>
  <c r="J27" i="4"/>
  <c r="K27" i="4"/>
  <c r="G28" i="4"/>
  <c r="I28" i="4"/>
  <c r="H28" i="4"/>
  <c r="J28" i="4"/>
  <c r="K28" i="4"/>
  <c r="G29" i="4"/>
  <c r="I29" i="4"/>
  <c r="H29" i="4"/>
  <c r="J29" i="4"/>
  <c r="K29" i="4"/>
  <c r="G30" i="4"/>
  <c r="I30" i="4"/>
  <c r="H30" i="4"/>
  <c r="J30" i="4"/>
  <c r="K30" i="4"/>
  <c r="G31" i="4"/>
  <c r="I31" i="4"/>
  <c r="H31" i="4"/>
  <c r="J31" i="4"/>
  <c r="K31" i="4"/>
  <c r="G32" i="4"/>
  <c r="I32" i="4"/>
  <c r="H32" i="4"/>
  <c r="J32" i="4"/>
  <c r="K32" i="4"/>
  <c r="G33" i="4"/>
  <c r="I33" i="4"/>
  <c r="H33" i="4"/>
  <c r="J33" i="4"/>
  <c r="K33" i="4"/>
  <c r="G34" i="4"/>
  <c r="I34" i="4"/>
  <c r="H34" i="4"/>
  <c r="J34" i="4"/>
  <c r="K34" i="4"/>
  <c r="G35" i="4"/>
  <c r="I35" i="4"/>
  <c r="H35" i="4"/>
  <c r="J35" i="4"/>
  <c r="K35" i="4"/>
  <c r="G36" i="4"/>
  <c r="I36" i="4"/>
  <c r="H36" i="4"/>
  <c r="J36" i="4"/>
  <c r="K36" i="4"/>
  <c r="G37" i="4"/>
  <c r="I37" i="4"/>
  <c r="H37" i="4"/>
  <c r="J37" i="4"/>
  <c r="K37" i="4"/>
  <c r="G38" i="4"/>
  <c r="I38" i="4"/>
  <c r="H38" i="4"/>
  <c r="J38" i="4"/>
  <c r="K38" i="4"/>
  <c r="G39" i="4"/>
  <c r="I39" i="4"/>
  <c r="H39" i="4"/>
  <c r="J39" i="4"/>
  <c r="K39" i="4"/>
  <c r="G40" i="4"/>
  <c r="I40" i="4"/>
  <c r="H40" i="4"/>
  <c r="J40" i="4"/>
  <c r="K40" i="4"/>
  <c r="G41" i="4"/>
  <c r="I41" i="4"/>
  <c r="H41" i="4"/>
  <c r="J41" i="4"/>
  <c r="K41" i="4"/>
  <c r="G42" i="4"/>
  <c r="I42" i="4"/>
  <c r="H42" i="4"/>
  <c r="J42" i="4"/>
  <c r="K42" i="4"/>
  <c r="G43" i="4"/>
  <c r="I43" i="4"/>
  <c r="H43" i="4"/>
  <c r="J43" i="4"/>
  <c r="K43" i="4"/>
  <c r="G44" i="4"/>
  <c r="I44" i="4"/>
  <c r="H44" i="4"/>
  <c r="J44" i="4"/>
  <c r="K44" i="4"/>
  <c r="G45" i="4"/>
  <c r="I45" i="4"/>
  <c r="H45" i="4"/>
  <c r="J45" i="4"/>
  <c r="K45" i="4"/>
  <c r="G46" i="4"/>
  <c r="I46" i="4"/>
  <c r="H46" i="4"/>
  <c r="J46" i="4"/>
  <c r="K46" i="4"/>
  <c r="G47" i="4"/>
  <c r="I47" i="4"/>
  <c r="H47" i="4"/>
  <c r="J47" i="4"/>
  <c r="K47" i="4"/>
  <c r="G48" i="4"/>
  <c r="I48" i="4"/>
  <c r="H48" i="4"/>
  <c r="J48" i="4"/>
  <c r="K48" i="4"/>
  <c r="G49" i="4"/>
  <c r="I49" i="4"/>
  <c r="H49" i="4"/>
  <c r="J49" i="4"/>
  <c r="K49" i="4"/>
  <c r="G50" i="4"/>
  <c r="I50" i="4"/>
  <c r="H50" i="4"/>
  <c r="J50" i="4"/>
  <c r="K50" i="4"/>
  <c r="G51" i="4"/>
  <c r="I51" i="4"/>
  <c r="H51" i="4"/>
  <c r="J51" i="4"/>
  <c r="K51" i="4"/>
  <c r="G52" i="4"/>
  <c r="I52" i="4"/>
  <c r="H52" i="4"/>
  <c r="J52" i="4"/>
  <c r="K52" i="4"/>
  <c r="G53" i="4"/>
  <c r="I53" i="4"/>
  <c r="H53" i="4"/>
  <c r="J53" i="4"/>
  <c r="K53" i="4"/>
  <c r="G54" i="4"/>
  <c r="I54" i="4"/>
  <c r="H54" i="4"/>
  <c r="J54" i="4"/>
  <c r="K54" i="4"/>
  <c r="G55" i="4"/>
  <c r="I55" i="4"/>
  <c r="H55" i="4"/>
  <c r="J55" i="4"/>
  <c r="K55" i="4"/>
  <c r="G56" i="4"/>
  <c r="I56" i="4"/>
  <c r="H56" i="4"/>
  <c r="J56" i="4"/>
  <c r="K56" i="4"/>
  <c r="G57" i="4"/>
  <c r="I57" i="4"/>
  <c r="H57" i="4"/>
  <c r="J57" i="4"/>
  <c r="K57" i="4"/>
  <c r="G58" i="4"/>
  <c r="I58" i="4"/>
  <c r="H58" i="4"/>
  <c r="J58" i="4"/>
  <c r="K58" i="4"/>
  <c r="G59" i="4"/>
  <c r="I59" i="4"/>
  <c r="H59" i="4"/>
  <c r="J59" i="4"/>
  <c r="K59" i="4"/>
  <c r="G60" i="4"/>
  <c r="I60" i="4"/>
  <c r="H60" i="4"/>
  <c r="J60" i="4"/>
  <c r="K60" i="4"/>
  <c r="G61" i="4"/>
  <c r="I61" i="4"/>
  <c r="H61" i="4"/>
  <c r="J61" i="4"/>
  <c r="K61" i="4"/>
  <c r="G62" i="4"/>
  <c r="I62" i="4"/>
  <c r="H62" i="4"/>
  <c r="J62" i="4"/>
  <c r="K62" i="4"/>
  <c r="G63" i="4"/>
  <c r="I63" i="4"/>
  <c r="H63" i="4"/>
  <c r="J63" i="4"/>
  <c r="K63" i="4"/>
  <c r="G64" i="4"/>
  <c r="I64" i="4"/>
  <c r="H64" i="4"/>
  <c r="J64" i="4"/>
  <c r="K64" i="4"/>
  <c r="G65" i="4"/>
  <c r="I65" i="4"/>
  <c r="H65" i="4"/>
  <c r="J65" i="4"/>
  <c r="K65" i="4"/>
  <c r="G66" i="4"/>
  <c r="I66" i="4"/>
  <c r="H66" i="4"/>
  <c r="J66" i="4"/>
  <c r="K66" i="4"/>
  <c r="G67" i="4"/>
  <c r="I67" i="4"/>
  <c r="H67" i="4"/>
  <c r="J67" i="4"/>
  <c r="K67" i="4"/>
  <c r="G68" i="4"/>
  <c r="I68" i="4"/>
  <c r="H68" i="4"/>
  <c r="J68" i="4"/>
  <c r="K68" i="4"/>
  <c r="G69" i="4"/>
  <c r="I69" i="4"/>
  <c r="H69" i="4"/>
  <c r="J69" i="4"/>
  <c r="K69" i="4"/>
  <c r="G70" i="4"/>
  <c r="I70" i="4"/>
  <c r="H70" i="4"/>
  <c r="J70" i="4"/>
  <c r="K70" i="4"/>
  <c r="G71" i="4"/>
  <c r="I71" i="4"/>
  <c r="H71" i="4"/>
  <c r="J71" i="4"/>
  <c r="K71" i="4"/>
  <c r="G72" i="4"/>
  <c r="I72" i="4"/>
  <c r="H72" i="4"/>
  <c r="J72" i="4"/>
  <c r="K72" i="4"/>
  <c r="G73" i="4"/>
  <c r="I73" i="4"/>
  <c r="H73" i="4"/>
  <c r="J73" i="4"/>
  <c r="K73" i="4"/>
  <c r="G74" i="4"/>
  <c r="I74" i="4"/>
  <c r="H74" i="4"/>
  <c r="J74" i="4"/>
  <c r="K74" i="4"/>
  <c r="G75" i="4"/>
  <c r="I75" i="4"/>
  <c r="H75" i="4"/>
  <c r="J75" i="4"/>
  <c r="K75" i="4"/>
  <c r="G76" i="4"/>
  <c r="I76" i="4"/>
  <c r="H76" i="4"/>
  <c r="J76" i="4"/>
  <c r="K76" i="4"/>
  <c r="G77" i="4"/>
  <c r="I77" i="4"/>
  <c r="H77" i="4"/>
  <c r="J77" i="4"/>
  <c r="K77" i="4"/>
  <c r="G78" i="4"/>
  <c r="I78" i="4"/>
  <c r="H78" i="4"/>
  <c r="J78" i="4"/>
  <c r="K78" i="4"/>
  <c r="G79" i="4"/>
  <c r="I79" i="4"/>
  <c r="H79" i="4"/>
  <c r="J79" i="4"/>
  <c r="K79" i="4"/>
  <c r="G80" i="4"/>
  <c r="I80" i="4"/>
  <c r="H80" i="4"/>
  <c r="J80" i="4"/>
  <c r="K80" i="4"/>
  <c r="G81" i="4"/>
  <c r="I81" i="4"/>
  <c r="H81" i="4"/>
  <c r="J81" i="4"/>
  <c r="K81" i="4"/>
  <c r="G82" i="4"/>
  <c r="I82" i="4"/>
  <c r="H82" i="4"/>
  <c r="J82" i="4"/>
  <c r="K82" i="4"/>
  <c r="G83" i="4"/>
  <c r="I83" i="4"/>
  <c r="H83" i="4"/>
  <c r="J83" i="4"/>
  <c r="K83" i="4"/>
  <c r="G84" i="4"/>
  <c r="I84" i="4"/>
  <c r="H84" i="4"/>
  <c r="J84" i="4"/>
  <c r="K84" i="4"/>
  <c r="G85" i="4"/>
  <c r="I85" i="4"/>
  <c r="H85" i="4"/>
  <c r="J85" i="4"/>
  <c r="K85" i="4"/>
  <c r="G86" i="4"/>
  <c r="I86" i="4"/>
  <c r="H86" i="4"/>
  <c r="J86" i="4"/>
  <c r="K86" i="4"/>
  <c r="G87" i="4"/>
  <c r="I87" i="4"/>
  <c r="H87" i="4"/>
  <c r="J87" i="4"/>
  <c r="K87" i="4"/>
  <c r="G88" i="4"/>
  <c r="I88" i="4"/>
  <c r="H88" i="4"/>
  <c r="J88" i="4"/>
  <c r="K88" i="4"/>
  <c r="G89" i="4"/>
  <c r="I89" i="4"/>
  <c r="H89" i="4"/>
  <c r="J89" i="4"/>
  <c r="K89" i="4"/>
  <c r="G90" i="4"/>
  <c r="I90" i="4"/>
  <c r="H90" i="4"/>
  <c r="J90" i="4"/>
  <c r="K90" i="4"/>
  <c r="G91" i="4"/>
  <c r="I91" i="4"/>
  <c r="H91" i="4"/>
  <c r="J91" i="4"/>
  <c r="K91" i="4"/>
  <c r="G92" i="4"/>
  <c r="I92" i="4"/>
  <c r="H92" i="4"/>
  <c r="J92" i="4"/>
  <c r="K92" i="4"/>
  <c r="G93" i="4"/>
  <c r="I93" i="4"/>
  <c r="H93" i="4"/>
  <c r="J93" i="4"/>
  <c r="K93" i="4"/>
  <c r="G94" i="4"/>
  <c r="I94" i="4"/>
  <c r="H94" i="4"/>
  <c r="J94" i="4"/>
  <c r="K94" i="4"/>
  <c r="G95" i="4"/>
  <c r="I95" i="4"/>
  <c r="H95" i="4"/>
  <c r="J95" i="4"/>
  <c r="K95" i="4"/>
  <c r="G96" i="4"/>
  <c r="I96" i="4"/>
  <c r="H96" i="4"/>
  <c r="J96" i="4"/>
  <c r="K96" i="4"/>
  <c r="G97" i="4"/>
  <c r="I97" i="4"/>
  <c r="H97" i="4"/>
  <c r="J97" i="4"/>
  <c r="K97" i="4"/>
  <c r="G98" i="4"/>
  <c r="I98" i="4"/>
  <c r="H98" i="4"/>
  <c r="J98" i="4"/>
  <c r="K98" i="4"/>
  <c r="G99" i="4"/>
  <c r="I99" i="4"/>
  <c r="H99" i="4"/>
  <c r="J99" i="4"/>
  <c r="K99" i="4"/>
  <c r="G100" i="4"/>
  <c r="I100" i="4"/>
  <c r="H100" i="4"/>
  <c r="J100" i="4"/>
  <c r="K100" i="4"/>
  <c r="G101" i="4"/>
  <c r="I101" i="4"/>
  <c r="H101" i="4"/>
  <c r="J101" i="4"/>
  <c r="K101" i="4"/>
  <c r="G102" i="4"/>
  <c r="I102" i="4"/>
  <c r="H102" i="4"/>
  <c r="J102" i="4"/>
  <c r="K102" i="4"/>
  <c r="G103" i="4"/>
  <c r="I103" i="4"/>
  <c r="H103" i="4"/>
  <c r="J103" i="4"/>
  <c r="K103" i="4"/>
  <c r="G104" i="4"/>
  <c r="I104" i="4"/>
  <c r="H104" i="4"/>
  <c r="J104" i="4"/>
  <c r="K104" i="4"/>
  <c r="G105" i="4"/>
  <c r="I105" i="4"/>
  <c r="H105" i="4"/>
  <c r="J105" i="4"/>
  <c r="K105" i="4"/>
  <c r="G106" i="4"/>
  <c r="I106" i="4"/>
  <c r="H106" i="4"/>
  <c r="J106" i="4"/>
  <c r="K106" i="4"/>
  <c r="G107" i="4"/>
  <c r="I107" i="4"/>
  <c r="H107" i="4"/>
  <c r="J107" i="4"/>
  <c r="K107" i="4"/>
  <c r="G108" i="4"/>
  <c r="I108" i="4"/>
  <c r="H108" i="4"/>
  <c r="J108" i="4"/>
  <c r="K108" i="4"/>
  <c r="G109" i="4"/>
  <c r="I109" i="4"/>
  <c r="H109" i="4"/>
  <c r="J109" i="4"/>
  <c r="K109" i="4"/>
  <c r="G110" i="4"/>
  <c r="I110" i="4"/>
  <c r="H110" i="4"/>
  <c r="J110" i="4"/>
  <c r="K110" i="4"/>
  <c r="G111" i="4"/>
  <c r="I111" i="4"/>
  <c r="H111" i="4"/>
  <c r="J111" i="4"/>
  <c r="K111" i="4"/>
  <c r="G112" i="4"/>
  <c r="I112" i="4"/>
  <c r="H112" i="4"/>
  <c r="J112" i="4"/>
  <c r="K112" i="4"/>
  <c r="G113" i="4"/>
  <c r="I113" i="4"/>
  <c r="H113" i="4"/>
  <c r="J113" i="4"/>
  <c r="K113" i="4"/>
  <c r="G114" i="4"/>
  <c r="I114" i="4"/>
  <c r="H114" i="4"/>
  <c r="J114" i="4"/>
  <c r="K114" i="4"/>
  <c r="G115" i="4"/>
  <c r="I115" i="4"/>
  <c r="H115" i="4"/>
  <c r="J115" i="4"/>
  <c r="K115" i="4"/>
  <c r="G116" i="4"/>
  <c r="I116" i="4"/>
  <c r="H116" i="4"/>
  <c r="J116" i="4"/>
  <c r="K116" i="4"/>
  <c r="G117" i="4"/>
  <c r="I117" i="4"/>
  <c r="H117" i="4"/>
  <c r="J117" i="4"/>
  <c r="K117" i="4"/>
  <c r="G118" i="4"/>
  <c r="I118" i="4"/>
  <c r="H118" i="4"/>
  <c r="J118" i="4"/>
  <c r="K118" i="4"/>
  <c r="G119" i="4"/>
  <c r="I119" i="4"/>
  <c r="H119" i="4"/>
  <c r="J119" i="4"/>
  <c r="K119" i="4"/>
  <c r="G120" i="4"/>
  <c r="I120" i="4"/>
  <c r="H120" i="4"/>
  <c r="J120" i="4"/>
  <c r="K120" i="4"/>
  <c r="G121" i="4"/>
  <c r="I121" i="4"/>
  <c r="H121" i="4"/>
  <c r="J121" i="4"/>
  <c r="K121" i="4"/>
  <c r="G122" i="4"/>
  <c r="I122" i="4"/>
  <c r="H122" i="4"/>
  <c r="J122" i="4"/>
  <c r="K122" i="4"/>
  <c r="G123" i="4"/>
  <c r="I123" i="4"/>
  <c r="H123" i="4"/>
  <c r="J123" i="4"/>
  <c r="K123" i="4"/>
  <c r="G124" i="4"/>
  <c r="I124" i="4"/>
  <c r="H124" i="4"/>
  <c r="J124" i="4"/>
  <c r="K124" i="4"/>
  <c r="G125" i="4"/>
  <c r="I125" i="4"/>
  <c r="H125" i="4"/>
  <c r="J125" i="4"/>
  <c r="K125" i="4"/>
  <c r="G126" i="4"/>
  <c r="I126" i="4"/>
  <c r="H126" i="4"/>
  <c r="J126" i="4"/>
  <c r="K126" i="4"/>
  <c r="G127" i="4"/>
  <c r="I127" i="4"/>
  <c r="H127" i="4"/>
  <c r="J127" i="4"/>
  <c r="K127" i="4"/>
  <c r="G128" i="4"/>
  <c r="I128" i="4"/>
  <c r="H128" i="4"/>
  <c r="J128" i="4"/>
  <c r="K128" i="4"/>
  <c r="G129" i="4"/>
  <c r="I129" i="4"/>
  <c r="H129" i="4"/>
  <c r="J129" i="4"/>
  <c r="K129" i="4"/>
  <c r="G130" i="4"/>
  <c r="I130" i="4"/>
  <c r="H130" i="4"/>
  <c r="J130" i="4"/>
  <c r="K130" i="4"/>
  <c r="G131" i="4"/>
  <c r="I131" i="4"/>
  <c r="H131" i="4"/>
  <c r="J131" i="4"/>
  <c r="K131" i="4"/>
  <c r="G132" i="4"/>
  <c r="I132" i="4"/>
  <c r="H132" i="4"/>
  <c r="J132" i="4"/>
  <c r="K132" i="4"/>
  <c r="G133" i="4"/>
  <c r="I133" i="4"/>
  <c r="H133" i="4"/>
  <c r="J133" i="4"/>
  <c r="K133" i="4"/>
  <c r="G134" i="4"/>
  <c r="I134" i="4"/>
  <c r="H134" i="4"/>
  <c r="J134" i="4"/>
  <c r="K134" i="4"/>
  <c r="G135" i="4"/>
  <c r="I135" i="4"/>
  <c r="H135" i="4"/>
  <c r="J135" i="4"/>
  <c r="K135" i="4"/>
  <c r="G136" i="4"/>
  <c r="I136" i="4"/>
  <c r="H136" i="4"/>
  <c r="J136" i="4"/>
  <c r="K136" i="4"/>
  <c r="G137" i="4"/>
  <c r="I137" i="4"/>
  <c r="H137" i="4"/>
  <c r="J137" i="4"/>
  <c r="K137" i="4"/>
  <c r="G138" i="4"/>
  <c r="I138" i="4"/>
  <c r="H138" i="4"/>
  <c r="J138" i="4"/>
  <c r="K138" i="4"/>
  <c r="G139" i="4"/>
  <c r="I139" i="4"/>
  <c r="H139" i="4"/>
  <c r="J139" i="4"/>
  <c r="K139" i="4"/>
  <c r="G140" i="4"/>
  <c r="I140" i="4"/>
  <c r="H140" i="4"/>
  <c r="J140" i="4"/>
  <c r="K140" i="4"/>
  <c r="G141" i="4"/>
  <c r="I141" i="4"/>
  <c r="H141" i="4"/>
  <c r="J141" i="4"/>
  <c r="K141" i="4"/>
  <c r="G142" i="4"/>
  <c r="I142" i="4"/>
  <c r="H142" i="4"/>
  <c r="J142" i="4"/>
  <c r="K142" i="4"/>
  <c r="G143" i="4"/>
  <c r="I143" i="4"/>
  <c r="H143" i="4"/>
  <c r="J143" i="4"/>
  <c r="K143" i="4"/>
  <c r="G144" i="4"/>
  <c r="I144" i="4"/>
  <c r="H144" i="4"/>
  <c r="J144" i="4"/>
  <c r="K144" i="4"/>
  <c r="G145" i="4"/>
  <c r="I145" i="4"/>
  <c r="H145" i="4"/>
  <c r="J145" i="4"/>
  <c r="K145" i="4"/>
  <c r="G146" i="4"/>
  <c r="I146" i="4"/>
  <c r="H146" i="4"/>
  <c r="J146" i="4"/>
  <c r="K146" i="4"/>
  <c r="G147" i="4"/>
  <c r="I147" i="4"/>
  <c r="H147" i="4"/>
  <c r="J147" i="4"/>
  <c r="K147" i="4"/>
  <c r="G148" i="4"/>
  <c r="I148" i="4"/>
  <c r="H148" i="4"/>
  <c r="J148" i="4"/>
  <c r="K148" i="4"/>
  <c r="G149" i="4"/>
  <c r="I149" i="4"/>
  <c r="H149" i="4"/>
  <c r="J149" i="4"/>
  <c r="K149" i="4"/>
  <c r="G150" i="4"/>
  <c r="I150" i="4"/>
  <c r="H150" i="4"/>
  <c r="J150" i="4"/>
  <c r="K150" i="4"/>
  <c r="G151" i="4"/>
  <c r="I151" i="4"/>
  <c r="H151" i="4"/>
  <c r="J151" i="4"/>
  <c r="K151" i="4"/>
  <c r="G152" i="4"/>
  <c r="I152" i="4"/>
  <c r="H152" i="4"/>
  <c r="J152" i="4"/>
  <c r="K152" i="4"/>
  <c r="G153" i="4"/>
  <c r="I153" i="4"/>
  <c r="H153" i="4"/>
  <c r="J153" i="4"/>
  <c r="K153" i="4"/>
  <c r="G154" i="4"/>
  <c r="I154" i="4"/>
  <c r="H154" i="4"/>
  <c r="J154" i="4"/>
  <c r="K154" i="4"/>
  <c r="G155" i="4"/>
  <c r="I155" i="4"/>
  <c r="H155" i="4"/>
  <c r="J155" i="4"/>
  <c r="K155" i="4"/>
  <c r="G156" i="4"/>
  <c r="I156" i="4"/>
  <c r="H156" i="4"/>
  <c r="J156" i="4"/>
  <c r="K156" i="4"/>
  <c r="G157" i="4"/>
  <c r="I157" i="4"/>
  <c r="H157" i="4"/>
  <c r="J157" i="4"/>
  <c r="K157" i="4"/>
  <c r="G158" i="4"/>
  <c r="I158" i="4"/>
  <c r="H158" i="4"/>
  <c r="J158" i="4"/>
  <c r="K158" i="4"/>
  <c r="G159" i="4"/>
  <c r="I159" i="4"/>
  <c r="H159" i="4"/>
  <c r="J159" i="4"/>
  <c r="K159" i="4"/>
  <c r="G160" i="4"/>
  <c r="I160" i="4"/>
  <c r="H160" i="4"/>
  <c r="J160" i="4"/>
  <c r="K160" i="4"/>
  <c r="G161" i="4"/>
  <c r="I161" i="4"/>
  <c r="H161" i="4"/>
  <c r="J161" i="4"/>
  <c r="K161" i="4"/>
  <c r="G162" i="4"/>
  <c r="I162" i="4"/>
  <c r="H162" i="4"/>
  <c r="J162" i="4"/>
  <c r="K162" i="4"/>
  <c r="G163" i="4"/>
  <c r="I163" i="4"/>
  <c r="H163" i="4"/>
  <c r="J163" i="4"/>
  <c r="K163" i="4"/>
  <c r="G164" i="4"/>
  <c r="I164" i="4"/>
  <c r="H164" i="4"/>
  <c r="J164" i="4"/>
  <c r="K164" i="4"/>
  <c r="G165" i="4"/>
  <c r="I165" i="4"/>
  <c r="H165" i="4"/>
  <c r="J165" i="4"/>
  <c r="K165" i="4"/>
  <c r="G166" i="4"/>
  <c r="I166" i="4"/>
  <c r="H166" i="4"/>
  <c r="J166" i="4"/>
  <c r="K166" i="4"/>
  <c r="G167" i="4"/>
  <c r="I167" i="4"/>
  <c r="H167" i="4"/>
  <c r="J167" i="4"/>
  <c r="K167" i="4"/>
  <c r="G168" i="4"/>
  <c r="I168" i="4"/>
  <c r="H168" i="4"/>
  <c r="J168" i="4"/>
  <c r="K168" i="4"/>
  <c r="G169" i="4"/>
  <c r="I169" i="4"/>
  <c r="H169" i="4"/>
  <c r="J169" i="4"/>
  <c r="K169" i="4"/>
  <c r="G170" i="4"/>
  <c r="I170" i="4"/>
  <c r="H170" i="4"/>
  <c r="J170" i="4"/>
  <c r="K170" i="4"/>
  <c r="G171" i="4"/>
  <c r="I171" i="4"/>
  <c r="H171" i="4"/>
  <c r="J171" i="4"/>
  <c r="K171" i="4"/>
  <c r="G172" i="4"/>
  <c r="I172" i="4"/>
  <c r="H172" i="4"/>
  <c r="J172" i="4"/>
  <c r="K172" i="4"/>
  <c r="G173" i="4"/>
  <c r="I173" i="4"/>
  <c r="H173" i="4"/>
  <c r="J173" i="4"/>
  <c r="K173" i="4"/>
  <c r="G174" i="4"/>
  <c r="I174" i="4"/>
  <c r="H174" i="4"/>
  <c r="J174" i="4"/>
  <c r="K174" i="4"/>
  <c r="G175" i="4"/>
  <c r="I175" i="4"/>
  <c r="H175" i="4"/>
  <c r="J175" i="4"/>
  <c r="K175" i="4"/>
  <c r="G176" i="4"/>
  <c r="I176" i="4"/>
  <c r="H176" i="4"/>
  <c r="J176" i="4"/>
  <c r="K176" i="4"/>
  <c r="G177" i="4"/>
  <c r="I177" i="4"/>
  <c r="H177" i="4"/>
  <c r="J177" i="4"/>
  <c r="K177" i="4"/>
  <c r="G178" i="4"/>
  <c r="I178" i="4"/>
  <c r="H178" i="4"/>
  <c r="J178" i="4"/>
  <c r="K178" i="4"/>
  <c r="G179" i="4"/>
  <c r="I179" i="4"/>
  <c r="H179" i="4"/>
  <c r="J179" i="4"/>
  <c r="K179" i="4"/>
  <c r="G180" i="4"/>
  <c r="I180" i="4"/>
  <c r="H180" i="4"/>
  <c r="J180" i="4"/>
  <c r="K180" i="4"/>
  <c r="G181" i="4"/>
  <c r="I181" i="4"/>
  <c r="H181" i="4"/>
  <c r="J181" i="4"/>
  <c r="K181" i="4"/>
  <c r="G182" i="4"/>
  <c r="I182" i="4"/>
  <c r="H182" i="4"/>
  <c r="J182" i="4"/>
  <c r="K182" i="4"/>
  <c r="G183" i="4"/>
  <c r="I183" i="4"/>
  <c r="H183" i="4"/>
  <c r="J183" i="4"/>
  <c r="K183" i="4"/>
  <c r="G184" i="4"/>
  <c r="I184" i="4"/>
  <c r="H184" i="4"/>
  <c r="J184" i="4"/>
  <c r="K184" i="4"/>
  <c r="G185" i="4"/>
  <c r="I185" i="4"/>
  <c r="H185" i="4"/>
  <c r="J185" i="4"/>
  <c r="K185" i="4"/>
  <c r="G186" i="4"/>
  <c r="I186" i="4"/>
  <c r="H186" i="4"/>
  <c r="J186" i="4"/>
  <c r="K186" i="4"/>
  <c r="G187" i="4"/>
  <c r="I187" i="4"/>
  <c r="H187" i="4"/>
  <c r="J187" i="4"/>
  <c r="K187" i="4"/>
  <c r="G188" i="4"/>
  <c r="I188" i="4"/>
  <c r="H188" i="4"/>
  <c r="J188" i="4"/>
  <c r="K188" i="4"/>
  <c r="G189" i="4"/>
  <c r="I189" i="4"/>
  <c r="H189" i="4"/>
  <c r="J189" i="4"/>
  <c r="K189" i="4"/>
  <c r="G190" i="4"/>
  <c r="I190" i="4"/>
  <c r="H190" i="4"/>
  <c r="J190" i="4"/>
  <c r="K190" i="4"/>
  <c r="G191" i="4"/>
  <c r="I191" i="4"/>
  <c r="H191" i="4"/>
  <c r="J191" i="4"/>
  <c r="K191" i="4"/>
  <c r="G192" i="4"/>
  <c r="I192" i="4"/>
  <c r="H192" i="4"/>
  <c r="J192" i="4"/>
  <c r="K192" i="4"/>
  <c r="G193" i="4"/>
  <c r="I193" i="4"/>
  <c r="H193" i="4"/>
  <c r="J193" i="4"/>
  <c r="K193" i="4"/>
  <c r="G194" i="4"/>
  <c r="I194" i="4"/>
  <c r="H194" i="4"/>
  <c r="J194" i="4"/>
  <c r="K194" i="4"/>
  <c r="G195" i="4"/>
  <c r="I195" i="4"/>
  <c r="H195" i="4"/>
  <c r="J195" i="4"/>
  <c r="K195" i="4"/>
  <c r="G196" i="4"/>
  <c r="I196" i="4"/>
  <c r="H196" i="4"/>
  <c r="J196" i="4"/>
  <c r="K196" i="4"/>
  <c r="G197" i="4"/>
  <c r="I197" i="4"/>
  <c r="H197" i="4"/>
  <c r="J197" i="4"/>
  <c r="K197" i="4"/>
  <c r="G198" i="4"/>
  <c r="I198" i="4"/>
  <c r="H198" i="4"/>
  <c r="J198" i="4"/>
  <c r="K198" i="4"/>
  <c r="G199" i="4"/>
  <c r="I199" i="4"/>
  <c r="H199" i="4"/>
  <c r="J199" i="4"/>
  <c r="K199" i="4"/>
  <c r="G200" i="4"/>
  <c r="I200" i="4"/>
  <c r="H200" i="4"/>
  <c r="J200" i="4"/>
  <c r="K200" i="4"/>
  <c r="G201" i="4"/>
  <c r="I201" i="4"/>
  <c r="H201" i="4"/>
  <c r="J201" i="4"/>
  <c r="K201" i="4"/>
  <c r="G202" i="4"/>
  <c r="I202" i="4"/>
  <c r="H202" i="4"/>
  <c r="J202" i="4"/>
  <c r="K202" i="4"/>
  <c r="G203" i="4"/>
  <c r="I203" i="4"/>
  <c r="H203" i="4"/>
  <c r="J203" i="4"/>
  <c r="K203" i="4"/>
  <c r="G204" i="4"/>
  <c r="I204" i="4"/>
  <c r="H204" i="4"/>
  <c r="J204" i="4"/>
  <c r="K204" i="4"/>
  <c r="G205" i="4"/>
  <c r="I205" i="4"/>
  <c r="H205" i="4"/>
  <c r="J205" i="4"/>
  <c r="K205" i="4"/>
  <c r="G206" i="4"/>
  <c r="I206" i="4"/>
  <c r="H206" i="4"/>
  <c r="J206" i="4"/>
  <c r="K206" i="4"/>
  <c r="G207" i="4"/>
  <c r="I207" i="4"/>
  <c r="H207" i="4"/>
  <c r="J207" i="4"/>
  <c r="K207" i="4"/>
  <c r="G208" i="4"/>
  <c r="I208" i="4"/>
  <c r="H208" i="4"/>
  <c r="J208" i="4"/>
  <c r="K208" i="4"/>
  <c r="G209" i="4"/>
  <c r="I209" i="4"/>
  <c r="H209" i="4"/>
  <c r="J209" i="4"/>
  <c r="K209" i="4"/>
  <c r="G210" i="4"/>
  <c r="I210" i="4"/>
  <c r="H210" i="4"/>
  <c r="J210" i="4"/>
  <c r="K210" i="4"/>
  <c r="G211" i="4"/>
  <c r="I211" i="4"/>
  <c r="H211" i="4"/>
  <c r="J211" i="4"/>
  <c r="K211" i="4"/>
  <c r="G212" i="4"/>
  <c r="I212" i="4"/>
  <c r="H212" i="4"/>
  <c r="J212" i="4"/>
  <c r="K212" i="4"/>
  <c r="G213" i="4"/>
  <c r="I213" i="4"/>
  <c r="H213" i="4"/>
  <c r="J213" i="4"/>
  <c r="K213" i="4"/>
  <c r="G214" i="4"/>
  <c r="I214" i="4"/>
  <c r="H214" i="4"/>
  <c r="J214" i="4"/>
  <c r="K214" i="4"/>
  <c r="G215" i="4"/>
  <c r="I215" i="4"/>
  <c r="H215" i="4"/>
  <c r="J215" i="4"/>
  <c r="K215" i="4"/>
  <c r="G216" i="4"/>
  <c r="I216" i="4"/>
  <c r="H216" i="4"/>
  <c r="J216" i="4"/>
  <c r="K216" i="4"/>
  <c r="G217" i="4"/>
  <c r="I217" i="4"/>
  <c r="H217" i="4"/>
  <c r="J217" i="4"/>
  <c r="K217" i="4"/>
  <c r="G218" i="4"/>
  <c r="I218" i="4"/>
  <c r="H218" i="4"/>
  <c r="J218" i="4"/>
  <c r="K218" i="4"/>
  <c r="G219" i="4"/>
  <c r="I219" i="4"/>
  <c r="H219" i="4"/>
  <c r="J219" i="4"/>
  <c r="K219" i="4"/>
  <c r="G220" i="4"/>
  <c r="I220" i="4"/>
  <c r="H220" i="4"/>
  <c r="J220" i="4"/>
  <c r="K220" i="4"/>
  <c r="G221" i="4"/>
  <c r="I221" i="4"/>
  <c r="H221" i="4"/>
  <c r="J221" i="4"/>
  <c r="K221" i="4"/>
  <c r="G222" i="4"/>
  <c r="I222" i="4"/>
  <c r="H222" i="4"/>
  <c r="J222" i="4"/>
  <c r="K222" i="4"/>
  <c r="G223" i="4"/>
  <c r="I223" i="4"/>
  <c r="H223" i="4"/>
  <c r="J223" i="4"/>
  <c r="K223" i="4"/>
  <c r="G224" i="4"/>
  <c r="I224" i="4"/>
  <c r="H224" i="4"/>
  <c r="J224" i="4"/>
  <c r="K224" i="4"/>
  <c r="G225" i="4"/>
  <c r="I225" i="4"/>
  <c r="H225" i="4"/>
  <c r="J225" i="4"/>
  <c r="K225" i="4"/>
  <c r="G226" i="4"/>
  <c r="I226" i="4"/>
  <c r="H226" i="4"/>
  <c r="J226" i="4"/>
  <c r="K226" i="4"/>
  <c r="G227" i="4"/>
  <c r="I227" i="4"/>
  <c r="H227" i="4"/>
  <c r="J227" i="4"/>
  <c r="K227" i="4"/>
  <c r="G228" i="4"/>
  <c r="I228" i="4"/>
  <c r="H228" i="4"/>
  <c r="J228" i="4"/>
  <c r="K228" i="4"/>
  <c r="G229" i="4"/>
  <c r="I229" i="4"/>
  <c r="H229" i="4"/>
  <c r="J229" i="4"/>
  <c r="K229" i="4"/>
  <c r="G230" i="4"/>
  <c r="I230" i="4"/>
  <c r="H230" i="4"/>
  <c r="J230" i="4"/>
  <c r="K230" i="4"/>
  <c r="G231" i="4"/>
  <c r="I231" i="4"/>
  <c r="H231" i="4"/>
  <c r="J231" i="4"/>
  <c r="K231" i="4"/>
  <c r="G232" i="4"/>
  <c r="I232" i="4"/>
  <c r="H232" i="4"/>
  <c r="J232" i="4"/>
  <c r="K232" i="4"/>
  <c r="G233" i="4"/>
  <c r="I233" i="4"/>
  <c r="H233" i="4"/>
  <c r="J233" i="4"/>
  <c r="K233" i="4"/>
  <c r="G234" i="4"/>
  <c r="I234" i="4"/>
  <c r="H234" i="4"/>
  <c r="J234" i="4"/>
  <c r="K234" i="4"/>
  <c r="G235" i="4"/>
  <c r="I235" i="4"/>
  <c r="H235" i="4"/>
  <c r="J235" i="4"/>
  <c r="K235" i="4"/>
  <c r="G236" i="4"/>
  <c r="I236" i="4"/>
  <c r="H236" i="4"/>
  <c r="J236" i="4"/>
  <c r="K236" i="4"/>
  <c r="G237" i="4"/>
  <c r="I237" i="4"/>
  <c r="H237" i="4"/>
  <c r="J237" i="4"/>
  <c r="K237" i="4"/>
  <c r="G238" i="4"/>
  <c r="I238" i="4"/>
  <c r="H238" i="4"/>
  <c r="J238" i="4"/>
  <c r="K238" i="4"/>
  <c r="G239" i="4"/>
  <c r="I239" i="4"/>
  <c r="H239" i="4"/>
  <c r="J239" i="4"/>
  <c r="K239" i="4"/>
  <c r="G240" i="4"/>
  <c r="I240" i="4"/>
  <c r="H240" i="4"/>
  <c r="J240" i="4"/>
  <c r="K240" i="4"/>
  <c r="G241" i="4"/>
  <c r="I241" i="4"/>
  <c r="H241" i="4"/>
  <c r="J241" i="4"/>
  <c r="K241" i="4"/>
  <c r="G242" i="4"/>
  <c r="I242" i="4"/>
  <c r="H242" i="4"/>
  <c r="J242" i="4"/>
  <c r="K242" i="4"/>
  <c r="G243" i="4"/>
  <c r="I243" i="4"/>
  <c r="H243" i="4"/>
  <c r="J243" i="4"/>
  <c r="K243" i="4"/>
  <c r="G244" i="4"/>
  <c r="I244" i="4"/>
  <c r="H244" i="4"/>
  <c r="J244" i="4"/>
  <c r="K244" i="4"/>
  <c r="G245" i="4"/>
  <c r="I245" i="4"/>
  <c r="H245" i="4"/>
  <c r="J245" i="4"/>
  <c r="K245" i="4"/>
  <c r="G246" i="4"/>
  <c r="I246" i="4"/>
  <c r="H246" i="4"/>
  <c r="J246" i="4"/>
  <c r="K246" i="4"/>
  <c r="G247" i="4"/>
  <c r="I247" i="4"/>
  <c r="H247" i="4"/>
  <c r="J247" i="4"/>
  <c r="K247" i="4"/>
  <c r="G248" i="4"/>
  <c r="I248" i="4"/>
  <c r="H248" i="4"/>
  <c r="J248" i="4"/>
  <c r="K248" i="4"/>
  <c r="G249" i="4"/>
  <c r="I249" i="4"/>
  <c r="H249" i="4"/>
  <c r="J249" i="4"/>
  <c r="K249" i="4"/>
  <c r="G250" i="4"/>
  <c r="I250" i="4"/>
  <c r="H250" i="4"/>
  <c r="J250" i="4"/>
  <c r="K250" i="4"/>
  <c r="G251" i="4"/>
  <c r="I251" i="4"/>
  <c r="H251" i="4"/>
  <c r="J251" i="4"/>
  <c r="K251" i="4"/>
  <c r="G252" i="4"/>
  <c r="I252" i="4"/>
  <c r="H252" i="4"/>
  <c r="J252" i="4"/>
  <c r="K252" i="4"/>
  <c r="G253" i="4"/>
  <c r="I253" i="4"/>
  <c r="H253" i="4"/>
  <c r="J253" i="4"/>
  <c r="K253" i="4"/>
  <c r="G254" i="4"/>
  <c r="I254" i="4"/>
  <c r="H254" i="4"/>
  <c r="J254" i="4"/>
  <c r="K254" i="4"/>
  <c r="G255" i="4"/>
  <c r="I255" i="4"/>
  <c r="H255" i="4"/>
  <c r="J255" i="4"/>
  <c r="K255" i="4"/>
  <c r="G256" i="4"/>
  <c r="I256" i="4"/>
  <c r="H256" i="4"/>
  <c r="J256" i="4"/>
  <c r="K256" i="4"/>
  <c r="G257" i="4"/>
  <c r="I257" i="4"/>
  <c r="H257" i="4"/>
  <c r="J257" i="4"/>
  <c r="K257" i="4"/>
  <c r="G258" i="4"/>
  <c r="I258" i="4"/>
  <c r="H258" i="4"/>
  <c r="J258" i="4"/>
  <c r="K258" i="4"/>
  <c r="G259" i="4"/>
  <c r="I259" i="4"/>
  <c r="H259" i="4"/>
  <c r="J259" i="4"/>
  <c r="K259" i="4"/>
  <c r="G260" i="4"/>
  <c r="I260" i="4"/>
  <c r="H260" i="4"/>
  <c r="J260" i="4"/>
  <c r="K260" i="4"/>
  <c r="G261" i="4"/>
  <c r="I261" i="4"/>
  <c r="H261" i="4"/>
  <c r="J261" i="4"/>
  <c r="K261" i="4"/>
  <c r="G262" i="4"/>
  <c r="I262" i="4"/>
  <c r="H262" i="4"/>
  <c r="J262" i="4"/>
  <c r="K262" i="4"/>
  <c r="G263" i="4"/>
  <c r="I263" i="4"/>
  <c r="H263" i="4"/>
  <c r="J263" i="4"/>
  <c r="K263" i="4"/>
  <c r="G264" i="4"/>
  <c r="I264" i="4"/>
  <c r="H264" i="4"/>
  <c r="J264" i="4"/>
  <c r="K264" i="4"/>
  <c r="G265" i="4"/>
  <c r="I265" i="4"/>
  <c r="H265" i="4"/>
  <c r="J265" i="4"/>
  <c r="K265" i="4"/>
  <c r="G266" i="4"/>
  <c r="I266" i="4"/>
  <c r="H266" i="4"/>
  <c r="J266" i="4"/>
  <c r="K266" i="4"/>
  <c r="G267" i="4"/>
  <c r="I267" i="4"/>
  <c r="H267" i="4"/>
  <c r="J267" i="4"/>
  <c r="K267" i="4"/>
  <c r="G268" i="4"/>
  <c r="I268" i="4"/>
  <c r="H268" i="4"/>
  <c r="J268" i="4"/>
  <c r="K268" i="4"/>
  <c r="G269" i="4"/>
  <c r="I269" i="4"/>
  <c r="H269" i="4"/>
  <c r="J269" i="4"/>
  <c r="K269" i="4"/>
  <c r="G270" i="4"/>
  <c r="I270" i="4"/>
  <c r="H270" i="4"/>
  <c r="J270" i="4"/>
  <c r="K270" i="4"/>
  <c r="G271" i="4"/>
  <c r="I271" i="4"/>
  <c r="H271" i="4"/>
  <c r="J271" i="4"/>
  <c r="K271" i="4"/>
  <c r="G272" i="4"/>
  <c r="I272" i="4"/>
  <c r="H272" i="4"/>
  <c r="J272" i="4"/>
  <c r="K272" i="4"/>
  <c r="G273" i="4"/>
  <c r="I273" i="4"/>
  <c r="H273" i="4"/>
  <c r="J273" i="4"/>
  <c r="K273" i="4"/>
  <c r="G274" i="4"/>
  <c r="I274" i="4"/>
  <c r="H274" i="4"/>
  <c r="J274" i="4"/>
  <c r="K274" i="4"/>
  <c r="G275" i="4"/>
  <c r="I275" i="4"/>
  <c r="H275" i="4"/>
  <c r="J275" i="4"/>
  <c r="K275" i="4"/>
  <c r="G276" i="4"/>
  <c r="I276" i="4"/>
  <c r="H276" i="4"/>
  <c r="J276" i="4"/>
  <c r="K276" i="4"/>
  <c r="G277" i="4"/>
  <c r="I277" i="4"/>
  <c r="H277" i="4"/>
  <c r="J277" i="4"/>
  <c r="K277" i="4"/>
  <c r="G278" i="4"/>
  <c r="I278" i="4"/>
  <c r="H278" i="4"/>
  <c r="J278" i="4"/>
  <c r="K278" i="4"/>
  <c r="G279" i="4"/>
  <c r="I279" i="4"/>
  <c r="H279" i="4"/>
  <c r="J279" i="4"/>
  <c r="K279" i="4"/>
  <c r="G280" i="4"/>
  <c r="I280" i="4"/>
  <c r="H280" i="4"/>
  <c r="J280" i="4"/>
  <c r="K280" i="4"/>
  <c r="G281" i="4"/>
  <c r="I281" i="4"/>
  <c r="H281" i="4"/>
  <c r="J281" i="4"/>
  <c r="K281" i="4"/>
  <c r="G282" i="4"/>
  <c r="I282" i="4"/>
  <c r="H282" i="4"/>
  <c r="J282" i="4"/>
  <c r="K282" i="4"/>
  <c r="G283" i="4"/>
  <c r="I283" i="4"/>
  <c r="H283" i="4"/>
  <c r="J283" i="4"/>
  <c r="K283" i="4"/>
  <c r="G284" i="4"/>
  <c r="I284" i="4"/>
  <c r="H284" i="4"/>
  <c r="J284" i="4"/>
  <c r="K284" i="4"/>
  <c r="G285" i="4"/>
  <c r="I285" i="4"/>
  <c r="H285" i="4"/>
  <c r="J285" i="4"/>
  <c r="K285" i="4"/>
  <c r="G286" i="4"/>
  <c r="I286" i="4"/>
  <c r="H286" i="4"/>
  <c r="J286" i="4"/>
  <c r="K286" i="4"/>
  <c r="G287" i="4"/>
  <c r="I287" i="4"/>
  <c r="H287" i="4"/>
  <c r="J287" i="4"/>
  <c r="K287" i="4"/>
  <c r="G288" i="4"/>
  <c r="I288" i="4"/>
  <c r="H288" i="4"/>
  <c r="J288" i="4"/>
  <c r="K288" i="4"/>
  <c r="G289" i="4"/>
  <c r="I289" i="4"/>
  <c r="H289" i="4"/>
  <c r="J289" i="4"/>
  <c r="K289" i="4"/>
  <c r="G290" i="4"/>
  <c r="I290" i="4"/>
  <c r="H290" i="4"/>
  <c r="J290" i="4"/>
  <c r="K290" i="4"/>
  <c r="G291" i="4"/>
  <c r="I291" i="4"/>
  <c r="H291" i="4"/>
  <c r="J291" i="4"/>
  <c r="K291" i="4"/>
  <c r="G292" i="4"/>
  <c r="I292" i="4"/>
  <c r="H292" i="4"/>
  <c r="J292" i="4"/>
  <c r="K292" i="4"/>
  <c r="G293" i="4"/>
  <c r="I293" i="4"/>
  <c r="H293" i="4"/>
  <c r="J293" i="4"/>
  <c r="K293" i="4"/>
  <c r="G294" i="4"/>
  <c r="I294" i="4"/>
  <c r="H294" i="4"/>
  <c r="J294" i="4"/>
  <c r="K294" i="4"/>
  <c r="G295" i="4"/>
  <c r="I295" i="4"/>
  <c r="H295" i="4"/>
  <c r="J295" i="4"/>
  <c r="K295" i="4"/>
  <c r="G296" i="4"/>
  <c r="I296" i="4"/>
  <c r="H296" i="4"/>
  <c r="J296" i="4"/>
  <c r="K296" i="4"/>
  <c r="G297" i="4"/>
  <c r="I297" i="4"/>
  <c r="H297" i="4"/>
  <c r="J297" i="4"/>
  <c r="K297" i="4"/>
  <c r="G298" i="4"/>
  <c r="I298" i="4"/>
  <c r="H298" i="4"/>
  <c r="J298" i="4"/>
  <c r="K298" i="4"/>
  <c r="G299" i="4"/>
  <c r="I299" i="4"/>
  <c r="H299" i="4"/>
  <c r="J299" i="4"/>
  <c r="K299" i="4"/>
  <c r="G300" i="4"/>
  <c r="I300" i="4"/>
  <c r="H300" i="4"/>
  <c r="J300" i="4"/>
  <c r="K300" i="4"/>
  <c r="G301" i="4"/>
  <c r="I301" i="4"/>
  <c r="H301" i="4"/>
  <c r="J301" i="4"/>
  <c r="K301" i="4"/>
  <c r="G302" i="4"/>
  <c r="I302" i="4"/>
  <c r="H302" i="4"/>
  <c r="J302" i="4"/>
  <c r="K302" i="4"/>
  <c r="G303" i="4"/>
  <c r="I303" i="4"/>
  <c r="H303" i="4"/>
  <c r="J303" i="4"/>
  <c r="K303" i="4"/>
  <c r="G304" i="4"/>
  <c r="I304" i="4"/>
  <c r="H304" i="4"/>
  <c r="J304" i="4"/>
  <c r="K304" i="4"/>
  <c r="G305" i="4"/>
  <c r="I305" i="4"/>
  <c r="H305" i="4"/>
  <c r="J305" i="4"/>
  <c r="K305" i="4"/>
  <c r="G306" i="4"/>
  <c r="I306" i="4"/>
  <c r="H306" i="4"/>
  <c r="J306" i="4"/>
  <c r="K306" i="4"/>
  <c r="G307" i="4"/>
  <c r="I307" i="4"/>
  <c r="H307" i="4"/>
  <c r="J307" i="4"/>
  <c r="K307" i="4"/>
  <c r="G308" i="4"/>
  <c r="I308" i="4"/>
  <c r="H308" i="4"/>
  <c r="J308" i="4"/>
  <c r="K308" i="4"/>
  <c r="G309" i="4"/>
  <c r="I309" i="4"/>
  <c r="H309" i="4"/>
  <c r="J309" i="4"/>
  <c r="K309" i="4"/>
  <c r="G310" i="4"/>
  <c r="I310" i="4"/>
  <c r="H310" i="4"/>
  <c r="J310" i="4"/>
  <c r="K310" i="4"/>
  <c r="G311" i="4"/>
  <c r="I311" i="4"/>
  <c r="H311" i="4"/>
  <c r="J311" i="4"/>
  <c r="K311" i="4"/>
  <c r="G312" i="4"/>
  <c r="I312" i="4"/>
  <c r="H312" i="4"/>
  <c r="J312" i="4"/>
  <c r="K312" i="4"/>
  <c r="G313" i="4"/>
  <c r="I313" i="4"/>
  <c r="H313" i="4"/>
  <c r="J313" i="4"/>
  <c r="K313" i="4"/>
  <c r="G314" i="4"/>
  <c r="I314" i="4"/>
  <c r="H314" i="4"/>
  <c r="J314" i="4"/>
  <c r="K314" i="4"/>
  <c r="G315" i="4"/>
  <c r="I315" i="4"/>
  <c r="H315" i="4"/>
  <c r="J315" i="4"/>
  <c r="K315" i="4"/>
  <c r="G316" i="4"/>
  <c r="I316" i="4"/>
  <c r="H316" i="4"/>
  <c r="J316" i="4"/>
  <c r="K316" i="4"/>
  <c r="G317" i="4"/>
  <c r="I317" i="4"/>
  <c r="H317" i="4"/>
  <c r="J317" i="4"/>
  <c r="K317" i="4"/>
  <c r="G318" i="4"/>
  <c r="I318" i="4"/>
  <c r="H318" i="4"/>
  <c r="J318" i="4"/>
  <c r="K318" i="4"/>
  <c r="G319" i="4"/>
  <c r="I319" i="4"/>
  <c r="H319" i="4"/>
  <c r="J319" i="4"/>
  <c r="K319" i="4"/>
  <c r="G320" i="4"/>
  <c r="I320" i="4"/>
  <c r="H320" i="4"/>
  <c r="J320" i="4"/>
  <c r="K320" i="4"/>
  <c r="G321" i="4"/>
  <c r="I321" i="4"/>
  <c r="H321" i="4"/>
  <c r="J321" i="4"/>
  <c r="K321" i="4"/>
  <c r="G322" i="4"/>
  <c r="I322" i="4"/>
  <c r="H322" i="4"/>
  <c r="J322" i="4"/>
  <c r="K322" i="4"/>
  <c r="G323" i="4"/>
  <c r="I323" i="4"/>
  <c r="H323" i="4"/>
  <c r="J323" i="4"/>
  <c r="K323" i="4"/>
  <c r="G324" i="4"/>
  <c r="I324" i="4"/>
  <c r="H324" i="4"/>
  <c r="J324" i="4"/>
  <c r="K324" i="4"/>
  <c r="G325" i="4"/>
  <c r="I325" i="4"/>
  <c r="H325" i="4"/>
  <c r="J325" i="4"/>
  <c r="K325" i="4"/>
  <c r="G326" i="4"/>
  <c r="I326" i="4"/>
  <c r="H326" i="4"/>
  <c r="J326" i="4"/>
  <c r="K326" i="4"/>
  <c r="G327" i="4"/>
  <c r="I327" i="4"/>
  <c r="H327" i="4"/>
  <c r="J327" i="4"/>
  <c r="K327" i="4"/>
  <c r="G328" i="4"/>
  <c r="I328" i="4"/>
  <c r="H328" i="4"/>
  <c r="J328" i="4"/>
  <c r="K328" i="4"/>
  <c r="G329" i="4"/>
  <c r="I329" i="4"/>
  <c r="H329" i="4"/>
  <c r="J329" i="4"/>
  <c r="K329" i="4"/>
  <c r="G330" i="4"/>
  <c r="I330" i="4"/>
  <c r="H330" i="4"/>
  <c r="J330" i="4"/>
  <c r="K330" i="4"/>
  <c r="G331" i="4"/>
  <c r="I331" i="4"/>
  <c r="H331" i="4"/>
  <c r="J331" i="4"/>
  <c r="K331" i="4"/>
  <c r="G332" i="4"/>
  <c r="I332" i="4"/>
  <c r="H332" i="4"/>
  <c r="J332" i="4"/>
  <c r="K332" i="4"/>
  <c r="G333" i="4"/>
  <c r="I333" i="4"/>
  <c r="H333" i="4"/>
  <c r="J333" i="4"/>
  <c r="K333" i="4"/>
  <c r="G334" i="4"/>
  <c r="I334" i="4"/>
  <c r="H334" i="4"/>
  <c r="J334" i="4"/>
  <c r="K334" i="4"/>
  <c r="G335" i="4"/>
  <c r="I335" i="4"/>
  <c r="H335" i="4"/>
  <c r="J335" i="4"/>
  <c r="K335" i="4"/>
  <c r="G336" i="4"/>
  <c r="I336" i="4"/>
  <c r="H336" i="4"/>
  <c r="J336" i="4"/>
  <c r="K336" i="4"/>
  <c r="G337" i="4"/>
  <c r="I337" i="4"/>
  <c r="H337" i="4"/>
  <c r="J337" i="4"/>
  <c r="K337" i="4"/>
  <c r="G338" i="4"/>
  <c r="I338" i="4"/>
  <c r="H338" i="4"/>
  <c r="J338" i="4"/>
  <c r="K338" i="4"/>
  <c r="G339" i="4"/>
  <c r="I339" i="4"/>
  <c r="H339" i="4"/>
  <c r="J339" i="4"/>
  <c r="K339" i="4"/>
  <c r="G340" i="4"/>
  <c r="I340" i="4"/>
  <c r="H340" i="4"/>
  <c r="J340" i="4"/>
  <c r="K340" i="4"/>
  <c r="G341" i="4"/>
  <c r="I341" i="4"/>
  <c r="H341" i="4"/>
  <c r="J341" i="4"/>
  <c r="K341" i="4"/>
  <c r="G342" i="4"/>
  <c r="I342" i="4"/>
  <c r="H342" i="4"/>
  <c r="J342" i="4"/>
  <c r="K342" i="4"/>
  <c r="G343" i="4"/>
  <c r="I343" i="4"/>
  <c r="H343" i="4"/>
  <c r="J343" i="4"/>
  <c r="K343" i="4"/>
  <c r="G344" i="4"/>
  <c r="I344" i="4"/>
  <c r="H344" i="4"/>
  <c r="J344" i="4"/>
  <c r="K344" i="4"/>
  <c r="G345" i="4"/>
  <c r="I345" i="4"/>
  <c r="H345" i="4"/>
  <c r="J345" i="4"/>
  <c r="K345" i="4"/>
  <c r="G346" i="4"/>
  <c r="I346" i="4"/>
  <c r="H346" i="4"/>
  <c r="J346" i="4"/>
  <c r="K346" i="4"/>
  <c r="G347" i="4"/>
  <c r="I347" i="4"/>
  <c r="H347" i="4"/>
  <c r="J347" i="4"/>
  <c r="K347" i="4"/>
  <c r="G348" i="4"/>
  <c r="I348" i="4"/>
  <c r="H348" i="4"/>
  <c r="J348" i="4"/>
  <c r="K348" i="4"/>
  <c r="G349" i="4"/>
  <c r="I349" i="4"/>
  <c r="H349" i="4"/>
  <c r="J349" i="4"/>
  <c r="K349" i="4"/>
  <c r="G350" i="4"/>
  <c r="I350" i="4"/>
  <c r="H350" i="4"/>
  <c r="J350" i="4"/>
  <c r="K350" i="4"/>
  <c r="G351" i="4"/>
  <c r="I351" i="4"/>
  <c r="H351" i="4"/>
  <c r="J351" i="4"/>
  <c r="K351" i="4"/>
  <c r="G352" i="4"/>
  <c r="I352" i="4"/>
  <c r="H352" i="4"/>
  <c r="J352" i="4"/>
  <c r="K352" i="4"/>
  <c r="G353" i="4"/>
  <c r="I353" i="4"/>
  <c r="H353" i="4"/>
  <c r="J353" i="4"/>
  <c r="K353" i="4"/>
  <c r="G354" i="4"/>
  <c r="I354" i="4"/>
  <c r="H354" i="4"/>
  <c r="J354" i="4"/>
  <c r="K354" i="4"/>
  <c r="G355" i="4"/>
  <c r="I355" i="4"/>
  <c r="H355" i="4"/>
  <c r="J355" i="4"/>
  <c r="K355" i="4"/>
  <c r="G356" i="4"/>
  <c r="I356" i="4"/>
  <c r="H356" i="4"/>
  <c r="J356" i="4"/>
  <c r="K356" i="4"/>
  <c r="G357" i="4"/>
  <c r="I357" i="4"/>
  <c r="H357" i="4"/>
  <c r="J357" i="4"/>
  <c r="K357" i="4"/>
  <c r="G358" i="4"/>
  <c r="I358" i="4"/>
  <c r="H358" i="4"/>
  <c r="J358" i="4"/>
  <c r="K358" i="4"/>
  <c r="G359" i="4"/>
  <c r="I359" i="4"/>
  <c r="H359" i="4"/>
  <c r="J359" i="4"/>
  <c r="K359" i="4"/>
  <c r="G360" i="4"/>
  <c r="I360" i="4"/>
  <c r="H360" i="4"/>
  <c r="J360" i="4"/>
  <c r="K360" i="4"/>
  <c r="G361" i="4"/>
  <c r="I361" i="4"/>
  <c r="H361" i="4"/>
  <c r="J361" i="4"/>
  <c r="K361" i="4"/>
  <c r="G362" i="4"/>
  <c r="I362" i="4"/>
  <c r="H362" i="4"/>
  <c r="J362" i="4"/>
  <c r="K362" i="4"/>
  <c r="G363" i="4"/>
  <c r="I363" i="4"/>
  <c r="H363" i="4"/>
  <c r="J363" i="4"/>
  <c r="K363" i="4"/>
  <c r="G364" i="4"/>
  <c r="I364" i="4"/>
  <c r="H364" i="4"/>
  <c r="J364" i="4"/>
  <c r="K364" i="4"/>
  <c r="G365" i="4"/>
  <c r="I365" i="4"/>
  <c r="H365" i="4"/>
  <c r="J365" i="4"/>
  <c r="K365" i="4"/>
  <c r="G366" i="4"/>
  <c r="I366" i="4"/>
  <c r="H366" i="4"/>
  <c r="J366" i="4"/>
  <c r="K366" i="4"/>
  <c r="G367" i="4"/>
  <c r="I367" i="4"/>
  <c r="H367" i="4"/>
  <c r="J367" i="4"/>
  <c r="K367" i="4"/>
  <c r="G368" i="4"/>
  <c r="I368" i="4"/>
  <c r="H368" i="4"/>
  <c r="J368" i="4"/>
  <c r="K368" i="4"/>
  <c r="G369" i="4"/>
  <c r="I369" i="4"/>
  <c r="H369" i="4"/>
  <c r="J369" i="4"/>
  <c r="K369" i="4"/>
  <c r="G370" i="4"/>
  <c r="I370" i="4"/>
  <c r="H370" i="4"/>
  <c r="J370" i="4"/>
  <c r="K370" i="4"/>
  <c r="G371" i="4"/>
  <c r="I371" i="4"/>
  <c r="I372" i="4"/>
  <c r="H371" i="4"/>
  <c r="J371" i="4"/>
  <c r="J372" i="4"/>
  <c r="I374" i="4"/>
  <c r="G22" i="7"/>
  <c r="F22" i="7"/>
  <c r="U8" i="4"/>
  <c r="H5" i="4"/>
  <c r="N5" i="4"/>
  <c r="U5" i="4"/>
  <c r="N8" i="4"/>
  <c r="F19" i="7"/>
  <c r="G19" i="7"/>
  <c r="F18" i="7"/>
  <c r="G18" i="7"/>
  <c r="N7" i="4"/>
  <c r="N9" i="4"/>
  <c r="U9" i="4"/>
  <c r="N10" i="4"/>
  <c r="U7" i="4"/>
  <c r="U12" i="4"/>
  <c r="N12" i="4"/>
  <c r="F21" i="7"/>
  <c r="G21" i="7"/>
  <c r="F20" i="7"/>
  <c r="G20" i="7"/>
  <c r="H6" i="4"/>
  <c r="N6" i="4"/>
  <c r="U6" i="4"/>
  <c r="E24" i="7"/>
  <c r="F24" i="7"/>
  <c r="O251" i="4"/>
  <c r="O237" i="4"/>
  <c r="O239" i="4"/>
  <c r="O241" i="4"/>
  <c r="O243" i="4"/>
  <c r="O245" i="4"/>
  <c r="O247" i="4"/>
  <c r="O249" i="4"/>
  <c r="O228" i="4"/>
  <c r="O230" i="4"/>
  <c r="O232" i="4"/>
  <c r="O234" i="4"/>
  <c r="O236" i="4"/>
  <c r="O215" i="4"/>
  <c r="O217" i="4"/>
  <c r="O219" i="4"/>
  <c r="O221" i="4"/>
  <c r="O223" i="4"/>
  <c r="O225" i="4"/>
  <c r="O203" i="4"/>
  <c r="O205" i="4"/>
  <c r="O207" i="4"/>
  <c r="O209" i="4"/>
  <c r="O211" i="4"/>
  <c r="O213" i="4"/>
  <c r="O188" i="4"/>
  <c r="O190" i="4"/>
  <c r="O192" i="4"/>
  <c r="O194" i="4"/>
  <c r="O196" i="4"/>
  <c r="O198" i="4"/>
  <c r="O200" i="4"/>
  <c r="O158" i="4"/>
  <c r="O238" i="4"/>
  <c r="O240" i="4"/>
  <c r="O242" i="4"/>
  <c r="O244" i="4"/>
  <c r="O246" i="4"/>
  <c r="O248" i="4"/>
  <c r="O250" i="4"/>
  <c r="O227" i="4"/>
  <c r="O229" i="4"/>
  <c r="O231" i="4"/>
  <c r="O233" i="4"/>
  <c r="O235" i="4"/>
  <c r="O216" i="4"/>
  <c r="O218" i="4"/>
  <c r="O220" i="4"/>
  <c r="O222" i="4"/>
  <c r="O224" i="4"/>
  <c r="O226" i="4"/>
  <c r="O202" i="4"/>
  <c r="O204" i="4"/>
  <c r="O206" i="4"/>
  <c r="O208" i="4"/>
  <c r="O210" i="4"/>
  <c r="O212" i="4"/>
  <c r="O214" i="4"/>
  <c r="O187" i="4"/>
  <c r="O189" i="4"/>
  <c r="O191" i="4"/>
  <c r="O193" i="4"/>
  <c r="O195" i="4"/>
  <c r="O197" i="4"/>
  <c r="O199" i="4"/>
  <c r="O201" i="4"/>
  <c r="O156" i="4"/>
  <c r="O157" i="4"/>
  <c r="O159" i="4"/>
  <c r="O161" i="4"/>
  <c r="O163" i="4"/>
  <c r="O165" i="4"/>
  <c r="O167" i="4"/>
  <c r="O169" i="4"/>
  <c r="O171" i="4"/>
  <c r="O173" i="4"/>
  <c r="O175" i="4"/>
  <c r="O177" i="4"/>
  <c r="O179" i="4"/>
  <c r="O181" i="4"/>
  <c r="O183" i="4"/>
  <c r="O185" i="4"/>
  <c r="O93" i="4"/>
  <c r="O95" i="4"/>
  <c r="O97" i="4"/>
  <c r="O99" i="4"/>
  <c r="O101" i="4"/>
  <c r="O103" i="4"/>
  <c r="O105" i="4"/>
  <c r="O107" i="4"/>
  <c r="O109" i="4"/>
  <c r="O111" i="4"/>
  <c r="O113" i="4"/>
  <c r="O115" i="4"/>
  <c r="O117" i="4"/>
  <c r="O119" i="4"/>
  <c r="O121" i="4"/>
  <c r="O123" i="4"/>
  <c r="O125" i="4"/>
  <c r="O127" i="4"/>
  <c r="O129" i="4"/>
  <c r="O131" i="4"/>
  <c r="O133" i="4"/>
  <c r="O135" i="4"/>
  <c r="O137" i="4"/>
  <c r="O139" i="4"/>
  <c r="O141" i="4"/>
  <c r="O143" i="4"/>
  <c r="O145" i="4"/>
  <c r="O147" i="4"/>
  <c r="O149" i="4"/>
  <c r="O151" i="4"/>
  <c r="O153" i="4"/>
  <c r="O155" i="4"/>
  <c r="O14" i="4"/>
  <c r="O16" i="4"/>
  <c r="O18" i="4"/>
  <c r="O20" i="4"/>
  <c r="O22" i="4"/>
  <c r="O24" i="4"/>
  <c r="O26" i="4"/>
  <c r="O28" i="4"/>
  <c r="O30" i="4"/>
  <c r="O32" i="4"/>
  <c r="O34" i="4"/>
  <c r="O36" i="4"/>
  <c r="O38" i="4"/>
  <c r="O40" i="4"/>
  <c r="O42" i="4"/>
  <c r="O44" i="4"/>
  <c r="O46" i="4"/>
  <c r="O48" i="4"/>
  <c r="O50" i="4"/>
  <c r="O52" i="4"/>
  <c r="O54" i="4"/>
  <c r="O56" i="4"/>
  <c r="O58" i="4"/>
  <c r="O60" i="4"/>
  <c r="O62" i="4"/>
  <c r="O64" i="4"/>
  <c r="O66" i="4"/>
  <c r="O68" i="4"/>
  <c r="O70" i="4"/>
  <c r="O72" i="4"/>
  <c r="O74" i="4"/>
  <c r="O76" i="4"/>
  <c r="O78" i="4"/>
  <c r="O80" i="4"/>
  <c r="O82" i="4"/>
  <c r="O84" i="4"/>
  <c r="O86" i="4"/>
  <c r="O88" i="4"/>
  <c r="O90" i="4"/>
  <c r="O12" i="4"/>
  <c r="O160" i="4"/>
  <c r="O162" i="4"/>
  <c r="O164" i="4"/>
  <c r="O166" i="4"/>
  <c r="O168" i="4"/>
  <c r="O170" i="4"/>
  <c r="O172" i="4"/>
  <c r="O174" i="4"/>
  <c r="O176" i="4"/>
  <c r="O178" i="4"/>
  <c r="O180" i="4"/>
  <c r="O182" i="4"/>
  <c r="O184" i="4"/>
  <c r="O186" i="4"/>
  <c r="O92" i="4"/>
  <c r="O94" i="4"/>
  <c r="O96" i="4"/>
  <c r="O98" i="4"/>
  <c r="O100" i="4"/>
  <c r="O102" i="4"/>
  <c r="O104" i="4"/>
  <c r="O106" i="4"/>
  <c r="O108" i="4"/>
  <c r="O110" i="4"/>
  <c r="O112" i="4"/>
  <c r="O114" i="4"/>
  <c r="O116" i="4"/>
  <c r="O118" i="4"/>
  <c r="O120" i="4"/>
  <c r="O122" i="4"/>
  <c r="O124" i="4"/>
  <c r="O126" i="4"/>
  <c r="O128" i="4"/>
  <c r="O130" i="4"/>
  <c r="O132" i="4"/>
  <c r="O134" i="4"/>
  <c r="O136" i="4"/>
  <c r="O138" i="4"/>
  <c r="O140" i="4"/>
  <c r="O142" i="4"/>
  <c r="O144" i="4"/>
  <c r="O146" i="4"/>
  <c r="O148" i="4"/>
  <c r="O150" i="4"/>
  <c r="O152" i="4"/>
  <c r="O154" i="4"/>
  <c r="O15" i="4"/>
  <c r="O17" i="4"/>
  <c r="O19" i="4"/>
  <c r="O21" i="4"/>
  <c r="O23" i="4"/>
  <c r="O25" i="4"/>
  <c r="O27" i="4"/>
  <c r="O29" i="4"/>
  <c r="O31" i="4"/>
  <c r="O33" i="4"/>
  <c r="O35" i="4"/>
  <c r="O37" i="4"/>
  <c r="O39" i="4"/>
  <c r="O41" i="4"/>
  <c r="O43" i="4"/>
  <c r="O45" i="4"/>
  <c r="O47" i="4"/>
  <c r="O49" i="4"/>
  <c r="O51" i="4"/>
  <c r="O53" i="4"/>
  <c r="O55" i="4"/>
  <c r="O57" i="4"/>
  <c r="O59" i="4"/>
  <c r="O61" i="4"/>
  <c r="O63" i="4"/>
  <c r="O65" i="4"/>
  <c r="O67" i="4"/>
  <c r="O69" i="4"/>
  <c r="O71" i="4"/>
  <c r="O73" i="4"/>
  <c r="O75" i="4"/>
  <c r="O77" i="4"/>
  <c r="O79" i="4"/>
  <c r="O81" i="4"/>
  <c r="O83" i="4"/>
  <c r="O85" i="4"/>
  <c r="O87" i="4"/>
  <c r="O89" i="4"/>
  <c r="O91" i="4"/>
  <c r="O13" i="4"/>
  <c r="P12" i="4"/>
  <c r="W12" i="4"/>
  <c r="U10" i="4"/>
  <c r="V127" i="4"/>
  <c r="V129" i="4"/>
  <c r="V131" i="4"/>
  <c r="V113" i="4"/>
  <c r="V115" i="4"/>
  <c r="V117" i="4"/>
  <c r="V119" i="4"/>
  <c r="V121" i="4"/>
  <c r="V123" i="4"/>
  <c r="V125" i="4"/>
  <c r="V98" i="4"/>
  <c r="V100" i="4"/>
  <c r="V102" i="4"/>
  <c r="V104" i="4"/>
  <c r="V106" i="4"/>
  <c r="V108" i="4"/>
  <c r="V110" i="4"/>
  <c r="V112" i="4"/>
  <c r="V73" i="4"/>
  <c r="V75" i="4"/>
  <c r="V77" i="4"/>
  <c r="V79" i="4"/>
  <c r="V81" i="4"/>
  <c r="V83" i="4"/>
  <c r="V85" i="4"/>
  <c r="V87" i="4"/>
  <c r="V89" i="4"/>
  <c r="V91" i="4"/>
  <c r="V93" i="4"/>
  <c r="V95" i="4"/>
  <c r="V58" i="4"/>
  <c r="V60" i="4"/>
  <c r="V62" i="4"/>
  <c r="V64" i="4"/>
  <c r="V66" i="4"/>
  <c r="V68" i="4"/>
  <c r="V70" i="4"/>
  <c r="V72" i="4"/>
  <c r="V43" i="4"/>
  <c r="V45" i="4"/>
  <c r="V47" i="4"/>
  <c r="V49" i="4"/>
  <c r="V51" i="4"/>
  <c r="V53" i="4"/>
  <c r="V55" i="4"/>
  <c r="V28" i="4"/>
  <c r="V30" i="4"/>
  <c r="V32" i="4"/>
  <c r="V34" i="4"/>
  <c r="V36" i="4"/>
  <c r="V38" i="4"/>
  <c r="V40" i="4"/>
  <c r="V42" i="4"/>
  <c r="V14" i="4"/>
  <c r="V16" i="4"/>
  <c r="V18" i="4"/>
  <c r="V20" i="4"/>
  <c r="V22" i="4"/>
  <c r="V24" i="4"/>
  <c r="V26" i="4"/>
  <c r="V13" i="4"/>
  <c r="V12" i="4"/>
  <c r="X12" i="4"/>
  <c r="G24" i="7"/>
  <c r="V128" i="4"/>
  <c r="V114" i="4"/>
  <c r="V118" i="4"/>
  <c r="V122" i="4"/>
  <c r="V126" i="4"/>
  <c r="V101" i="4"/>
  <c r="V105" i="4"/>
  <c r="V109" i="4"/>
  <c r="V74" i="4"/>
  <c r="V78" i="4"/>
  <c r="V82" i="4"/>
  <c r="V86" i="4"/>
  <c r="V90" i="4"/>
  <c r="V94" i="4"/>
  <c r="V57" i="4"/>
  <c r="V59" i="4"/>
  <c r="V63" i="4"/>
  <c r="V67" i="4"/>
  <c r="V71" i="4"/>
  <c r="V46" i="4"/>
  <c r="V50" i="4"/>
  <c r="V54" i="4"/>
  <c r="V27" i="4"/>
  <c r="V29" i="4"/>
  <c r="V33" i="4"/>
  <c r="V37" i="4"/>
  <c r="V41" i="4"/>
  <c r="V17" i="4"/>
  <c r="V21" i="4"/>
  <c r="V25" i="4"/>
  <c r="V130" i="4"/>
  <c r="V116" i="4"/>
  <c r="V120" i="4"/>
  <c r="V124" i="4"/>
  <c r="V97" i="4"/>
  <c r="V99" i="4"/>
  <c r="V103" i="4"/>
  <c r="V107" i="4"/>
  <c r="V111" i="4"/>
  <c r="V76" i="4"/>
  <c r="V80" i="4"/>
  <c r="V84" i="4"/>
  <c r="V88" i="4"/>
  <c r="V92" i="4"/>
  <c r="V96" i="4"/>
  <c r="V61" i="4"/>
  <c r="V65" i="4"/>
  <c r="V69" i="4"/>
  <c r="V44" i="4"/>
  <c r="V48" i="4"/>
  <c r="V52" i="4"/>
  <c r="V56" i="4"/>
  <c r="V31" i="4"/>
  <c r="V35" i="4"/>
  <c r="V39" i="4"/>
  <c r="V15" i="4"/>
  <c r="V19" i="4"/>
  <c r="V23" i="4"/>
  <c r="Q12" i="4"/>
  <c r="R12" i="4"/>
  <c r="N13" i="4"/>
  <c r="Y12" i="4"/>
  <c r="U13" i="4"/>
  <c r="P13" i="4"/>
  <c r="W13" i="4"/>
  <c r="Q13" i="4"/>
  <c r="X13" i="4"/>
  <c r="Y13" i="4"/>
  <c r="U14" i="4"/>
  <c r="W14" i="4"/>
  <c r="R13" i="4"/>
  <c r="N14" i="4"/>
  <c r="P14" i="4"/>
  <c r="Q14" i="4"/>
  <c r="X14" i="4"/>
  <c r="Y14" i="4"/>
  <c r="U15" i="4"/>
  <c r="R14" i="4"/>
  <c r="N15" i="4"/>
  <c r="P15" i="4"/>
  <c r="W15" i="4"/>
  <c r="X15" i="4"/>
  <c r="Q15" i="4"/>
  <c r="R15" i="4"/>
  <c r="N16" i="4"/>
  <c r="Y15" i="4"/>
  <c r="U16" i="4"/>
  <c r="W16" i="4"/>
  <c r="X16" i="4"/>
  <c r="P16" i="4"/>
  <c r="Q16" i="4"/>
  <c r="R16" i="4"/>
  <c r="N17" i="4"/>
  <c r="P17" i="4"/>
  <c r="Q17" i="4"/>
  <c r="R17" i="4"/>
  <c r="N18" i="4"/>
  <c r="Y16" i="4"/>
  <c r="U17" i="4"/>
  <c r="P18" i="4"/>
  <c r="Q18" i="4"/>
  <c r="R18" i="4"/>
  <c r="N19" i="4"/>
  <c r="W17" i="4"/>
  <c r="X17" i="4"/>
  <c r="Y17" i="4"/>
  <c r="U18" i="4"/>
  <c r="P19" i="4"/>
  <c r="Q19" i="4"/>
  <c r="R19" i="4"/>
  <c r="N20" i="4"/>
  <c r="W18" i="4"/>
  <c r="X18" i="4"/>
  <c r="Y18" i="4"/>
  <c r="U19" i="4"/>
  <c r="P20" i="4"/>
  <c r="Q20" i="4"/>
  <c r="R20" i="4"/>
  <c r="N21" i="4"/>
  <c r="W19" i="4"/>
  <c r="X19" i="4"/>
  <c r="Y19" i="4"/>
  <c r="U20" i="4"/>
  <c r="W20" i="4"/>
  <c r="X20" i="4"/>
  <c r="Y20" i="4"/>
  <c r="U21" i="4"/>
  <c r="P21" i="4"/>
  <c r="Q21" i="4"/>
  <c r="R21" i="4"/>
  <c r="N22" i="4"/>
  <c r="P22" i="4"/>
  <c r="Q22" i="4"/>
  <c r="R22" i="4"/>
  <c r="N23" i="4"/>
  <c r="W21" i="4"/>
  <c r="X21" i="4"/>
  <c r="Y21" i="4"/>
  <c r="U22" i="4"/>
  <c r="W22" i="4"/>
  <c r="X22" i="4"/>
  <c r="Y22" i="4"/>
  <c r="U23" i="4"/>
  <c r="P23" i="4"/>
  <c r="Q23" i="4"/>
  <c r="R23" i="4"/>
  <c r="N24" i="4"/>
  <c r="P24" i="4"/>
  <c r="Q24" i="4"/>
  <c r="R24" i="4"/>
  <c r="N25" i="4"/>
  <c r="W23" i="4"/>
  <c r="X23" i="4"/>
  <c r="Y23" i="4"/>
  <c r="U24" i="4"/>
  <c r="W24" i="4"/>
  <c r="X24" i="4"/>
  <c r="Y24" i="4"/>
  <c r="U25" i="4"/>
  <c r="P25" i="4"/>
  <c r="Q25" i="4"/>
  <c r="R25" i="4"/>
  <c r="N26" i="4"/>
  <c r="P26" i="4"/>
  <c r="Q26" i="4"/>
  <c r="R26" i="4"/>
  <c r="N27" i="4"/>
  <c r="W25" i="4"/>
  <c r="X25" i="4"/>
  <c r="Y25" i="4"/>
  <c r="U26" i="4"/>
  <c r="W26" i="4"/>
  <c r="X26" i="4"/>
  <c r="Y26" i="4"/>
  <c r="U27" i="4"/>
  <c r="W27" i="4"/>
  <c r="X27" i="4"/>
  <c r="Y27" i="4"/>
  <c r="U28" i="4"/>
  <c r="P27" i="4"/>
  <c r="Q27" i="4"/>
  <c r="R27" i="4"/>
  <c r="N28" i="4"/>
  <c r="P28" i="4"/>
  <c r="Q28" i="4"/>
  <c r="R28" i="4"/>
  <c r="N29" i="4"/>
  <c r="W28" i="4"/>
  <c r="X28" i="4"/>
  <c r="Y28" i="4"/>
  <c r="U29" i="4"/>
  <c r="W29" i="4"/>
  <c r="X29" i="4"/>
  <c r="Y29" i="4"/>
  <c r="U30" i="4"/>
  <c r="P29" i="4"/>
  <c r="Q29" i="4"/>
  <c r="R29" i="4"/>
  <c r="N30" i="4"/>
  <c r="P30" i="4"/>
  <c r="Q30" i="4"/>
  <c r="R30" i="4"/>
  <c r="N31" i="4"/>
  <c r="W30" i="4"/>
  <c r="X30" i="4"/>
  <c r="Y30" i="4"/>
  <c r="U31" i="4"/>
  <c r="W31" i="4"/>
  <c r="X31" i="4"/>
  <c r="Y31" i="4"/>
  <c r="U32" i="4"/>
  <c r="P31" i="4"/>
  <c r="Q31" i="4"/>
  <c r="R31" i="4"/>
  <c r="N32" i="4"/>
  <c r="P32" i="4"/>
  <c r="Q32" i="4"/>
  <c r="R32" i="4"/>
  <c r="N33" i="4"/>
  <c r="W32" i="4"/>
  <c r="X32" i="4"/>
  <c r="Y32" i="4"/>
  <c r="U33" i="4"/>
  <c r="W33" i="4"/>
  <c r="X33" i="4"/>
  <c r="Y33" i="4"/>
  <c r="U34" i="4"/>
  <c r="P33" i="4"/>
  <c r="Q33" i="4"/>
  <c r="R33" i="4"/>
  <c r="N34" i="4"/>
  <c r="P34" i="4"/>
  <c r="Q34" i="4"/>
  <c r="R34" i="4"/>
  <c r="N35" i="4"/>
  <c r="W34" i="4"/>
  <c r="X34" i="4"/>
  <c r="Y34" i="4"/>
  <c r="U35" i="4"/>
  <c r="W35" i="4"/>
  <c r="X35" i="4"/>
  <c r="Y35" i="4"/>
  <c r="U36" i="4"/>
  <c r="P35" i="4"/>
  <c r="Q35" i="4"/>
  <c r="R35" i="4"/>
  <c r="N36" i="4"/>
  <c r="P36" i="4"/>
  <c r="Q36" i="4"/>
  <c r="R36" i="4"/>
  <c r="N37" i="4"/>
  <c r="W36" i="4"/>
  <c r="X36" i="4"/>
  <c r="Y36" i="4"/>
  <c r="U37" i="4"/>
  <c r="W37" i="4"/>
  <c r="X37" i="4"/>
  <c r="Y37" i="4"/>
  <c r="U38" i="4"/>
  <c r="P37" i="4"/>
  <c r="Q37" i="4"/>
  <c r="R37" i="4"/>
  <c r="N38" i="4"/>
  <c r="W38" i="4"/>
  <c r="X38" i="4"/>
  <c r="Y38" i="4"/>
  <c r="U39" i="4"/>
  <c r="P38" i="4"/>
  <c r="Q38" i="4"/>
  <c r="R38" i="4"/>
  <c r="N39" i="4"/>
  <c r="P39" i="4"/>
  <c r="Q39" i="4"/>
  <c r="R39" i="4"/>
  <c r="N40" i="4"/>
  <c r="W39" i="4"/>
  <c r="X39" i="4"/>
  <c r="Y39" i="4"/>
  <c r="U40" i="4"/>
  <c r="P40" i="4"/>
  <c r="Q40" i="4"/>
  <c r="R40" i="4"/>
  <c r="N41" i="4"/>
  <c r="W40" i="4"/>
  <c r="X40" i="4"/>
  <c r="Y40" i="4"/>
  <c r="U41" i="4"/>
  <c r="P41" i="4"/>
  <c r="Q41" i="4"/>
  <c r="R41" i="4"/>
  <c r="N42" i="4"/>
  <c r="W41" i="4"/>
  <c r="X41" i="4"/>
  <c r="Y41" i="4"/>
  <c r="U42" i="4"/>
  <c r="W42" i="4"/>
  <c r="X42" i="4"/>
  <c r="Y42" i="4"/>
  <c r="U43" i="4"/>
  <c r="W43" i="4"/>
  <c r="X43" i="4"/>
  <c r="Y43" i="4"/>
  <c r="U44" i="4"/>
  <c r="P42" i="4"/>
  <c r="Q42" i="4"/>
  <c r="R42" i="4"/>
  <c r="N43" i="4"/>
  <c r="P43" i="4"/>
  <c r="Q43" i="4"/>
  <c r="R43" i="4"/>
  <c r="N44" i="4"/>
  <c r="W44" i="4"/>
  <c r="X44" i="4"/>
  <c r="Y44" i="4"/>
  <c r="U45" i="4"/>
  <c r="W45" i="4"/>
  <c r="X45" i="4"/>
  <c r="Y45" i="4"/>
  <c r="U46" i="4"/>
  <c r="W46" i="4"/>
  <c r="X46" i="4"/>
  <c r="Y46" i="4"/>
  <c r="U47" i="4"/>
  <c r="W47" i="4"/>
  <c r="X47" i="4"/>
  <c r="Y47" i="4"/>
  <c r="U48" i="4"/>
  <c r="W48" i="4"/>
  <c r="X48" i="4"/>
  <c r="Y48" i="4"/>
  <c r="U49" i="4"/>
  <c r="W49" i="4"/>
  <c r="X49" i="4"/>
  <c r="Y49" i="4"/>
  <c r="U50" i="4"/>
  <c r="W50" i="4"/>
  <c r="X50" i="4"/>
  <c r="Y50" i="4"/>
  <c r="U51" i="4"/>
  <c r="W51" i="4"/>
  <c r="X51" i="4"/>
  <c r="Y51" i="4"/>
  <c r="U52" i="4"/>
  <c r="W52" i="4"/>
  <c r="X52" i="4"/>
  <c r="Y52" i="4"/>
  <c r="U53" i="4"/>
  <c r="W53" i="4"/>
  <c r="X53" i="4"/>
  <c r="Y53" i="4"/>
  <c r="U54" i="4"/>
  <c r="W54" i="4"/>
  <c r="X54" i="4"/>
  <c r="Y54" i="4"/>
  <c r="U55" i="4"/>
  <c r="W55" i="4"/>
  <c r="X55" i="4"/>
  <c r="Y55" i="4"/>
  <c r="U56" i="4"/>
  <c r="W56" i="4"/>
  <c r="X56" i="4"/>
  <c r="Y56" i="4"/>
  <c r="U57" i="4"/>
  <c r="W57" i="4"/>
  <c r="X57" i="4"/>
  <c r="Y57" i="4"/>
  <c r="U58" i="4"/>
  <c r="W58" i="4"/>
  <c r="X58" i="4"/>
  <c r="Y58" i="4"/>
  <c r="U59" i="4"/>
  <c r="P44" i="4"/>
  <c r="Q44" i="4"/>
  <c r="R44" i="4"/>
  <c r="N45" i="4"/>
  <c r="P45" i="4"/>
  <c r="Q45" i="4"/>
  <c r="R45" i="4"/>
  <c r="N46" i="4"/>
  <c r="W59" i="4"/>
  <c r="X59" i="4"/>
  <c r="Y59" i="4"/>
  <c r="U60" i="4"/>
  <c r="P46" i="4"/>
  <c r="Q46" i="4"/>
  <c r="R46" i="4"/>
  <c r="N47" i="4"/>
  <c r="W60" i="4"/>
  <c r="X60" i="4"/>
  <c r="Y60" i="4"/>
  <c r="U61" i="4"/>
  <c r="W61" i="4"/>
  <c r="X61" i="4"/>
  <c r="Y61" i="4"/>
  <c r="U62" i="4"/>
  <c r="W62" i="4"/>
  <c r="X62" i="4"/>
  <c r="Y62" i="4"/>
  <c r="U63" i="4"/>
  <c r="W63" i="4"/>
  <c r="X63" i="4"/>
  <c r="Y63" i="4"/>
  <c r="U64" i="4"/>
  <c r="W64" i="4"/>
  <c r="X64" i="4"/>
  <c r="Y64" i="4"/>
  <c r="U65" i="4"/>
  <c r="W65" i="4"/>
  <c r="X65" i="4"/>
  <c r="Y65" i="4"/>
  <c r="U66" i="4"/>
  <c r="W66" i="4"/>
  <c r="X66" i="4"/>
  <c r="Y66" i="4"/>
  <c r="U67" i="4"/>
  <c r="W67" i="4"/>
  <c r="X67" i="4"/>
  <c r="Y67" i="4"/>
  <c r="U68" i="4"/>
  <c r="W68" i="4"/>
  <c r="X68" i="4"/>
  <c r="Y68" i="4"/>
  <c r="U69" i="4"/>
  <c r="W69" i="4"/>
  <c r="X69" i="4"/>
  <c r="Y69" i="4"/>
  <c r="U70" i="4"/>
  <c r="W70" i="4"/>
  <c r="X70" i="4"/>
  <c r="Y70" i="4"/>
  <c r="U71" i="4"/>
  <c r="W71" i="4"/>
  <c r="X71" i="4"/>
  <c r="Y71" i="4"/>
  <c r="U72" i="4"/>
  <c r="W72" i="4"/>
  <c r="X72" i="4"/>
  <c r="Y72" i="4"/>
  <c r="U73" i="4"/>
  <c r="W73" i="4"/>
  <c r="X73" i="4"/>
  <c r="Y73" i="4"/>
  <c r="U74" i="4"/>
  <c r="P47" i="4"/>
  <c r="Q47" i="4"/>
  <c r="R47" i="4"/>
  <c r="N48" i="4"/>
  <c r="P48" i="4"/>
  <c r="Q48" i="4"/>
  <c r="R48" i="4"/>
  <c r="N49" i="4"/>
  <c r="W74" i="4"/>
  <c r="X74" i="4"/>
  <c r="Y74" i="4"/>
  <c r="U75" i="4"/>
  <c r="W75" i="4"/>
  <c r="X75" i="4"/>
  <c r="Y75" i="4"/>
  <c r="U76" i="4"/>
  <c r="P49" i="4"/>
  <c r="Q49" i="4"/>
  <c r="R49" i="4"/>
  <c r="N50" i="4"/>
  <c r="W76" i="4"/>
  <c r="X76" i="4"/>
  <c r="Y76" i="4"/>
  <c r="U77" i="4"/>
  <c r="P50" i="4"/>
  <c r="Q50" i="4"/>
  <c r="R50" i="4"/>
  <c r="N51" i="4"/>
  <c r="P51" i="4"/>
  <c r="Q51" i="4"/>
  <c r="R51" i="4"/>
  <c r="N52" i="4"/>
  <c r="W77" i="4"/>
  <c r="X77" i="4"/>
  <c r="Y77" i="4"/>
  <c r="U78" i="4"/>
  <c r="W78" i="4"/>
  <c r="X78" i="4"/>
  <c r="Y78" i="4"/>
  <c r="U79" i="4"/>
  <c r="P52" i="4"/>
  <c r="Q52" i="4"/>
  <c r="R52" i="4"/>
  <c r="N53" i="4"/>
  <c r="P53" i="4"/>
  <c r="Q53" i="4"/>
  <c r="R53" i="4"/>
  <c r="N54" i="4"/>
  <c r="W79" i="4"/>
  <c r="X79" i="4"/>
  <c r="Y79" i="4"/>
  <c r="U80" i="4"/>
  <c r="W80" i="4"/>
  <c r="X80" i="4"/>
  <c r="Y80" i="4"/>
  <c r="U81" i="4"/>
  <c r="P54" i="4"/>
  <c r="Q54" i="4"/>
  <c r="R54" i="4"/>
  <c r="N55" i="4"/>
  <c r="P55" i="4"/>
  <c r="Q55" i="4"/>
  <c r="R55" i="4"/>
  <c r="N56" i="4"/>
  <c r="W81" i="4"/>
  <c r="X81" i="4"/>
  <c r="Y81" i="4"/>
  <c r="U82" i="4"/>
  <c r="W82" i="4"/>
  <c r="X82" i="4"/>
  <c r="Y82" i="4"/>
  <c r="U83" i="4"/>
  <c r="P56" i="4"/>
  <c r="Q56" i="4"/>
  <c r="R56" i="4"/>
  <c r="N57" i="4"/>
  <c r="P57" i="4"/>
  <c r="Q57" i="4"/>
  <c r="R57" i="4"/>
  <c r="N58" i="4"/>
  <c r="W83" i="4"/>
  <c r="X83" i="4"/>
  <c r="Y83" i="4"/>
  <c r="U84" i="4"/>
  <c r="W84" i="4"/>
  <c r="X84" i="4"/>
  <c r="Y84" i="4"/>
  <c r="U85" i="4"/>
  <c r="P58" i="4"/>
  <c r="Q58" i="4"/>
  <c r="R58" i="4"/>
  <c r="N59" i="4"/>
  <c r="P59" i="4"/>
  <c r="Q59" i="4"/>
  <c r="R59" i="4"/>
  <c r="N60" i="4"/>
  <c r="W85" i="4"/>
  <c r="X85" i="4"/>
  <c r="Y85" i="4"/>
  <c r="U86" i="4"/>
  <c r="P60" i="4"/>
  <c r="Q60" i="4"/>
  <c r="R60" i="4"/>
  <c r="N61" i="4"/>
  <c r="W86" i="4"/>
  <c r="X86" i="4"/>
  <c r="Y86" i="4"/>
  <c r="U87" i="4"/>
  <c r="P61" i="4"/>
  <c r="Q61" i="4"/>
  <c r="R61" i="4"/>
  <c r="N62" i="4"/>
  <c r="W87" i="4"/>
  <c r="X87" i="4"/>
  <c r="Y87" i="4"/>
  <c r="U88" i="4"/>
  <c r="W88" i="4"/>
  <c r="X88" i="4"/>
  <c r="Y88" i="4"/>
  <c r="U89" i="4"/>
  <c r="P62" i="4"/>
  <c r="Q62" i="4"/>
  <c r="R62" i="4"/>
  <c r="N63" i="4"/>
  <c r="P63" i="4"/>
  <c r="Q63" i="4"/>
  <c r="R63" i="4"/>
  <c r="N64" i="4"/>
  <c r="W89" i="4"/>
  <c r="X89" i="4"/>
  <c r="Y89" i="4"/>
  <c r="U90" i="4"/>
  <c r="W90" i="4"/>
  <c r="X90" i="4"/>
  <c r="Y90" i="4"/>
  <c r="U91" i="4"/>
  <c r="P64" i="4"/>
  <c r="Q64" i="4"/>
  <c r="R64" i="4"/>
  <c r="N65" i="4"/>
  <c r="P65" i="4"/>
  <c r="Q65" i="4"/>
  <c r="R65" i="4"/>
  <c r="N66" i="4"/>
  <c r="P66" i="4"/>
  <c r="Q66" i="4"/>
  <c r="R66" i="4"/>
  <c r="N67" i="4"/>
  <c r="W91" i="4"/>
  <c r="X91" i="4"/>
  <c r="Y91" i="4"/>
  <c r="U92" i="4"/>
  <c r="W92" i="4"/>
  <c r="X92" i="4"/>
  <c r="Y92" i="4"/>
  <c r="U93" i="4"/>
  <c r="P67" i="4"/>
  <c r="Q67" i="4"/>
  <c r="R67" i="4"/>
  <c r="N68" i="4"/>
  <c r="P68" i="4"/>
  <c r="Q68" i="4"/>
  <c r="R68" i="4"/>
  <c r="N69" i="4"/>
  <c r="P69" i="4"/>
  <c r="Q69" i="4"/>
  <c r="R69" i="4"/>
  <c r="N70" i="4"/>
  <c r="P70" i="4"/>
  <c r="Q70" i="4"/>
  <c r="R70" i="4"/>
  <c r="N71" i="4"/>
  <c r="W93" i="4"/>
  <c r="X93" i="4"/>
  <c r="Y93" i="4"/>
  <c r="U94" i="4"/>
  <c r="W94" i="4"/>
  <c r="X94" i="4"/>
  <c r="Y94" i="4"/>
  <c r="U95" i="4"/>
  <c r="W95" i="4"/>
  <c r="X95" i="4"/>
  <c r="Y95" i="4"/>
  <c r="U96" i="4"/>
  <c r="W96" i="4"/>
  <c r="X96" i="4"/>
  <c r="Y96" i="4"/>
  <c r="U97" i="4"/>
  <c r="W97" i="4"/>
  <c r="X97" i="4"/>
  <c r="Y97" i="4"/>
  <c r="U98" i="4"/>
  <c r="P71" i="4"/>
  <c r="Q71" i="4"/>
  <c r="R71" i="4"/>
  <c r="N72" i="4"/>
  <c r="P72" i="4"/>
  <c r="Q72" i="4"/>
  <c r="R72" i="4"/>
  <c r="N73" i="4"/>
  <c r="W98" i="4"/>
  <c r="X98" i="4"/>
  <c r="Y98" i="4"/>
  <c r="U99" i="4"/>
  <c r="P73" i="4"/>
  <c r="Q73" i="4"/>
  <c r="R73" i="4"/>
  <c r="N74" i="4"/>
  <c r="P74" i="4"/>
  <c r="Q74" i="4"/>
  <c r="R74" i="4"/>
  <c r="N75" i="4"/>
  <c r="P75" i="4"/>
  <c r="Q75" i="4"/>
  <c r="R75" i="4"/>
  <c r="N76" i="4"/>
  <c r="P76" i="4"/>
  <c r="Q76" i="4"/>
  <c r="R76" i="4"/>
  <c r="N77" i="4"/>
  <c r="W99" i="4"/>
  <c r="X99" i="4"/>
  <c r="Y99" i="4"/>
  <c r="U100" i="4"/>
  <c r="W100" i="4"/>
  <c r="X100" i="4"/>
  <c r="Y100" i="4"/>
  <c r="U101" i="4"/>
  <c r="P77" i="4"/>
  <c r="Q77" i="4"/>
  <c r="R77" i="4"/>
  <c r="N78" i="4"/>
  <c r="P78" i="4"/>
  <c r="Q78" i="4"/>
  <c r="R78" i="4"/>
  <c r="N79" i="4"/>
  <c r="W101" i="4"/>
  <c r="X101" i="4"/>
  <c r="Y101" i="4"/>
  <c r="U102" i="4"/>
  <c r="P79" i="4"/>
  <c r="Q79" i="4"/>
  <c r="R79" i="4"/>
  <c r="N80" i="4"/>
  <c r="P80" i="4"/>
  <c r="Q80" i="4"/>
  <c r="R80" i="4"/>
  <c r="N81" i="4"/>
  <c r="W102" i="4"/>
  <c r="X102" i="4"/>
  <c r="Y102" i="4"/>
  <c r="U103" i="4"/>
  <c r="P81" i="4"/>
  <c r="Q81" i="4"/>
  <c r="R81" i="4"/>
  <c r="N82" i="4"/>
  <c r="P82" i="4"/>
  <c r="Q82" i="4"/>
  <c r="R82" i="4"/>
  <c r="N83" i="4"/>
  <c r="P83" i="4"/>
  <c r="Q83" i="4"/>
  <c r="R83" i="4"/>
  <c r="N84" i="4"/>
  <c r="P84" i="4"/>
  <c r="Q84" i="4"/>
  <c r="R84" i="4"/>
  <c r="N85" i="4"/>
  <c r="W103" i="4"/>
  <c r="X103" i="4"/>
  <c r="Y103" i="4"/>
  <c r="U104" i="4"/>
  <c r="W104" i="4"/>
  <c r="X104" i="4"/>
  <c r="Y104" i="4"/>
  <c r="U105" i="4"/>
  <c r="P85" i="4"/>
  <c r="Q85" i="4"/>
  <c r="R85" i="4"/>
  <c r="N86" i="4"/>
  <c r="P86" i="4"/>
  <c r="Q86" i="4"/>
  <c r="R86" i="4"/>
  <c r="N87" i="4"/>
  <c r="W105" i="4"/>
  <c r="X105" i="4"/>
  <c r="Y105" i="4"/>
  <c r="U106" i="4"/>
  <c r="P87" i="4"/>
  <c r="Q87" i="4"/>
  <c r="R87" i="4"/>
  <c r="N88" i="4"/>
  <c r="W106" i="4"/>
  <c r="X106" i="4"/>
  <c r="Y106" i="4"/>
  <c r="U107" i="4"/>
  <c r="P88" i="4"/>
  <c r="Q88" i="4"/>
  <c r="R88" i="4"/>
  <c r="N89" i="4"/>
  <c r="W107" i="4"/>
  <c r="X107" i="4"/>
  <c r="Y107" i="4"/>
  <c r="U108" i="4"/>
  <c r="P89" i="4"/>
  <c r="Q89" i="4"/>
  <c r="R89" i="4"/>
  <c r="N90" i="4"/>
  <c r="W108" i="4"/>
  <c r="X108" i="4"/>
  <c r="Y108" i="4"/>
  <c r="U109" i="4"/>
  <c r="P90" i="4"/>
  <c r="Q90" i="4"/>
  <c r="R90" i="4"/>
  <c r="N91" i="4"/>
  <c r="W109" i="4"/>
  <c r="X109" i="4"/>
  <c r="Y109" i="4"/>
  <c r="U110" i="4"/>
  <c r="P91" i="4"/>
  <c r="Q91" i="4"/>
  <c r="R91" i="4"/>
  <c r="N92" i="4"/>
  <c r="P92" i="4"/>
  <c r="Q92" i="4"/>
  <c r="R92" i="4"/>
  <c r="N93" i="4"/>
  <c r="P93" i="4"/>
  <c r="Q93" i="4"/>
  <c r="R93" i="4"/>
  <c r="N94" i="4"/>
  <c r="W110" i="4"/>
  <c r="X110" i="4"/>
  <c r="Y110" i="4"/>
  <c r="U111" i="4"/>
  <c r="W111" i="4"/>
  <c r="X111" i="4"/>
  <c r="Y111" i="4"/>
  <c r="U112" i="4"/>
  <c r="P94" i="4"/>
  <c r="Q94" i="4"/>
  <c r="R94" i="4"/>
  <c r="N95" i="4"/>
  <c r="P95" i="4"/>
  <c r="Q95" i="4"/>
  <c r="R95" i="4"/>
  <c r="N96" i="4"/>
  <c r="W112" i="4"/>
  <c r="X112" i="4"/>
  <c r="Y112" i="4"/>
  <c r="U113" i="4"/>
  <c r="W113" i="4"/>
  <c r="X113" i="4"/>
  <c r="Y113" i="4"/>
  <c r="U114" i="4"/>
  <c r="W114" i="4"/>
  <c r="X114" i="4"/>
  <c r="Y114" i="4"/>
  <c r="U115" i="4"/>
  <c r="W115" i="4"/>
  <c r="X115" i="4"/>
  <c r="Y115" i="4"/>
  <c r="U116" i="4"/>
  <c r="W116" i="4"/>
  <c r="X116" i="4"/>
  <c r="Y116" i="4"/>
  <c r="U117" i="4"/>
  <c r="W117" i="4"/>
  <c r="X117" i="4"/>
  <c r="Y117" i="4"/>
  <c r="U118" i="4"/>
  <c r="W118" i="4"/>
  <c r="X118" i="4"/>
  <c r="Y118" i="4"/>
  <c r="U119" i="4"/>
  <c r="W119" i="4"/>
  <c r="X119" i="4"/>
  <c r="Y119" i="4"/>
  <c r="U120" i="4"/>
  <c r="W120" i="4"/>
  <c r="X120" i="4"/>
  <c r="Y120" i="4"/>
  <c r="U121" i="4"/>
  <c r="W121" i="4"/>
  <c r="X121" i="4"/>
  <c r="Y121" i="4"/>
  <c r="U122" i="4"/>
  <c r="W122" i="4"/>
  <c r="X122" i="4"/>
  <c r="Y122" i="4"/>
  <c r="U123" i="4"/>
  <c r="W123" i="4"/>
  <c r="X123" i="4"/>
  <c r="Y123" i="4"/>
  <c r="U124" i="4"/>
  <c r="W124" i="4"/>
  <c r="X124" i="4"/>
  <c r="Y124" i="4"/>
  <c r="U125" i="4"/>
  <c r="W125" i="4"/>
  <c r="X125" i="4"/>
  <c r="Y125" i="4"/>
  <c r="U126" i="4"/>
  <c r="W126" i="4"/>
  <c r="X126" i="4"/>
  <c r="Y126" i="4"/>
  <c r="U127" i="4"/>
  <c r="W127" i="4"/>
  <c r="X127" i="4"/>
  <c r="Y127" i="4"/>
  <c r="U128" i="4"/>
  <c r="P96" i="4"/>
  <c r="Q96" i="4"/>
  <c r="R96" i="4"/>
  <c r="N97" i="4"/>
  <c r="P97" i="4"/>
  <c r="Q97" i="4"/>
  <c r="R97" i="4"/>
  <c r="N98" i="4"/>
  <c r="W128" i="4"/>
  <c r="X128" i="4"/>
  <c r="Y128" i="4"/>
  <c r="U129" i="4"/>
  <c r="W129" i="4"/>
  <c r="X129" i="4"/>
  <c r="Y129" i="4"/>
  <c r="U130" i="4"/>
  <c r="P98" i="4"/>
  <c r="Q98" i="4"/>
  <c r="R98" i="4"/>
  <c r="N99" i="4"/>
  <c r="P99" i="4"/>
  <c r="Q99" i="4"/>
  <c r="R99" i="4"/>
  <c r="N100" i="4"/>
  <c r="W130" i="4"/>
  <c r="X130" i="4"/>
  <c r="Y130" i="4"/>
  <c r="U131" i="4"/>
  <c r="W131" i="4"/>
  <c r="P100" i="4"/>
  <c r="Q100" i="4"/>
  <c r="R100" i="4"/>
  <c r="N101" i="4"/>
  <c r="P101" i="4"/>
  <c r="Q101" i="4"/>
  <c r="R101" i="4"/>
  <c r="N102" i="4"/>
  <c r="X131" i="4"/>
  <c r="W132" i="4"/>
  <c r="G25" i="7"/>
  <c r="P102" i="4"/>
  <c r="Q102" i="4"/>
  <c r="R102" i="4"/>
  <c r="N103" i="4"/>
  <c r="X132" i="4"/>
  <c r="Y131" i="4"/>
  <c r="P103" i="4"/>
  <c r="Q103" i="4"/>
  <c r="R103" i="4"/>
  <c r="N104" i="4"/>
  <c r="P104" i="4"/>
  <c r="Q104" i="4"/>
  <c r="R104" i="4"/>
  <c r="N105" i="4"/>
  <c r="P105" i="4"/>
  <c r="Q105" i="4"/>
  <c r="R105" i="4"/>
  <c r="N106" i="4"/>
  <c r="P106" i="4"/>
  <c r="Q106" i="4"/>
  <c r="R106" i="4"/>
  <c r="N107" i="4"/>
  <c r="P107" i="4"/>
  <c r="Q107" i="4"/>
  <c r="R107" i="4"/>
  <c r="N108" i="4"/>
  <c r="P108" i="4"/>
  <c r="Q108" i="4"/>
  <c r="R108" i="4"/>
  <c r="N109" i="4"/>
  <c r="P109" i="4"/>
  <c r="Q109" i="4"/>
  <c r="R109" i="4"/>
  <c r="N110" i="4"/>
  <c r="P110" i="4"/>
  <c r="Q110" i="4"/>
  <c r="R110" i="4"/>
  <c r="N111" i="4"/>
  <c r="P111" i="4"/>
  <c r="Q111" i="4"/>
  <c r="R111" i="4"/>
  <c r="N112" i="4"/>
  <c r="P112" i="4"/>
  <c r="Q112" i="4"/>
  <c r="R112" i="4"/>
  <c r="N113" i="4"/>
  <c r="P113" i="4"/>
  <c r="Q113" i="4"/>
  <c r="R113" i="4"/>
  <c r="N114" i="4"/>
  <c r="P114" i="4"/>
  <c r="Q114" i="4"/>
  <c r="R114" i="4"/>
  <c r="N115" i="4"/>
  <c r="P115" i="4"/>
  <c r="Q115" i="4"/>
  <c r="R115" i="4"/>
  <c r="N116" i="4"/>
  <c r="P116" i="4"/>
  <c r="Q116" i="4"/>
  <c r="R116" i="4"/>
  <c r="N117" i="4"/>
  <c r="P117" i="4"/>
  <c r="Q117" i="4"/>
  <c r="R117" i="4"/>
  <c r="N118" i="4"/>
  <c r="P118" i="4"/>
  <c r="Q118" i="4"/>
  <c r="R118" i="4"/>
  <c r="N119" i="4"/>
  <c r="P119" i="4"/>
  <c r="Q119" i="4"/>
  <c r="R119" i="4"/>
  <c r="N120" i="4"/>
  <c r="P120" i="4"/>
  <c r="Q120" i="4"/>
  <c r="R120" i="4"/>
  <c r="N121" i="4"/>
  <c r="P121" i="4"/>
  <c r="Q121" i="4"/>
  <c r="R121" i="4"/>
  <c r="N122" i="4"/>
  <c r="P122" i="4"/>
  <c r="Q122" i="4"/>
  <c r="R122" i="4"/>
  <c r="N123" i="4"/>
  <c r="P123" i="4"/>
  <c r="Q123" i="4"/>
  <c r="R123" i="4"/>
  <c r="N124" i="4"/>
  <c r="P124" i="4"/>
  <c r="Q124" i="4"/>
  <c r="R124" i="4"/>
  <c r="N125" i="4"/>
  <c r="P125" i="4"/>
  <c r="Q125" i="4"/>
  <c r="R125" i="4"/>
  <c r="N126" i="4"/>
  <c r="P126" i="4"/>
  <c r="Q126" i="4"/>
  <c r="R126" i="4"/>
  <c r="N127" i="4"/>
  <c r="P127" i="4"/>
  <c r="Q127" i="4"/>
  <c r="R127" i="4"/>
  <c r="N128" i="4"/>
  <c r="P128" i="4"/>
  <c r="Q128" i="4"/>
  <c r="R128" i="4"/>
  <c r="N129" i="4"/>
  <c r="P129" i="4"/>
  <c r="Q129" i="4"/>
  <c r="R129" i="4"/>
  <c r="N130" i="4"/>
  <c r="P130" i="4"/>
  <c r="Q130" i="4"/>
  <c r="R130" i="4"/>
  <c r="N131" i="4"/>
  <c r="P131" i="4"/>
  <c r="Q131" i="4"/>
  <c r="R131" i="4"/>
  <c r="N132" i="4"/>
  <c r="P132" i="4"/>
  <c r="Q132" i="4"/>
  <c r="R132" i="4"/>
  <c r="N133" i="4"/>
  <c r="P133" i="4"/>
  <c r="Q133" i="4"/>
  <c r="R133" i="4"/>
  <c r="N134" i="4"/>
  <c r="P134" i="4"/>
  <c r="Q134" i="4"/>
  <c r="R134" i="4"/>
  <c r="N135" i="4"/>
  <c r="P135" i="4"/>
  <c r="Q135" i="4"/>
  <c r="R135" i="4"/>
  <c r="N136" i="4"/>
  <c r="P136" i="4"/>
  <c r="Q136" i="4"/>
  <c r="R136" i="4"/>
  <c r="N137" i="4"/>
  <c r="P137" i="4"/>
  <c r="Q137" i="4"/>
  <c r="R137" i="4"/>
  <c r="N138" i="4"/>
  <c r="P138" i="4"/>
  <c r="Q138" i="4"/>
  <c r="R138" i="4"/>
  <c r="N139" i="4"/>
  <c r="P139" i="4"/>
  <c r="Q139" i="4"/>
  <c r="R139" i="4"/>
  <c r="N140" i="4"/>
  <c r="P140" i="4"/>
  <c r="Q140" i="4"/>
  <c r="R140" i="4"/>
  <c r="N141" i="4"/>
  <c r="P141" i="4"/>
  <c r="Q141" i="4"/>
  <c r="R141" i="4"/>
  <c r="N142" i="4"/>
  <c r="P142" i="4"/>
  <c r="Q142" i="4"/>
  <c r="R142" i="4"/>
  <c r="N143" i="4"/>
  <c r="P143" i="4"/>
  <c r="Q143" i="4"/>
  <c r="R143" i="4"/>
  <c r="N144" i="4"/>
  <c r="P144" i="4"/>
  <c r="Q144" i="4"/>
  <c r="R144" i="4"/>
  <c r="N145" i="4"/>
  <c r="P145" i="4"/>
  <c r="Q145" i="4"/>
  <c r="R145" i="4"/>
  <c r="N146" i="4"/>
  <c r="P146" i="4"/>
  <c r="Q146" i="4"/>
  <c r="R146" i="4"/>
  <c r="N147" i="4"/>
  <c r="P147" i="4"/>
  <c r="Q147" i="4"/>
  <c r="R147" i="4"/>
  <c r="N148" i="4"/>
  <c r="P148" i="4"/>
  <c r="Q148" i="4"/>
  <c r="R148" i="4"/>
  <c r="N149" i="4"/>
  <c r="P149" i="4"/>
  <c r="Q149" i="4"/>
  <c r="R149" i="4"/>
  <c r="N150" i="4"/>
  <c r="P150" i="4"/>
  <c r="Q150" i="4"/>
  <c r="R150" i="4"/>
  <c r="N151" i="4"/>
  <c r="P151" i="4"/>
  <c r="Q151" i="4"/>
  <c r="R151" i="4"/>
  <c r="N152" i="4"/>
  <c r="P152" i="4"/>
  <c r="Q152" i="4"/>
  <c r="R152" i="4"/>
  <c r="N153" i="4"/>
  <c r="P153" i="4"/>
  <c r="Q153" i="4"/>
  <c r="R153" i="4"/>
  <c r="N154" i="4"/>
  <c r="P154" i="4"/>
  <c r="Q154" i="4"/>
  <c r="R154" i="4"/>
  <c r="N155" i="4"/>
  <c r="P155" i="4"/>
  <c r="Q155" i="4"/>
  <c r="R155" i="4"/>
  <c r="N156" i="4"/>
  <c r="P156" i="4"/>
  <c r="Q156" i="4"/>
  <c r="R156" i="4"/>
  <c r="N157" i="4"/>
  <c r="P157" i="4"/>
  <c r="Q157" i="4"/>
  <c r="R157" i="4"/>
  <c r="N158" i="4"/>
  <c r="P158" i="4"/>
  <c r="Q158" i="4"/>
  <c r="R158" i="4"/>
  <c r="N159" i="4"/>
  <c r="P159" i="4"/>
  <c r="Q159" i="4"/>
  <c r="R159" i="4"/>
  <c r="N160" i="4"/>
  <c r="P160" i="4"/>
  <c r="Q160" i="4"/>
  <c r="R160" i="4"/>
  <c r="N161" i="4"/>
  <c r="P161" i="4"/>
  <c r="Q161" i="4"/>
  <c r="R161" i="4"/>
  <c r="N162" i="4"/>
  <c r="P162" i="4"/>
  <c r="Q162" i="4"/>
  <c r="R162" i="4"/>
  <c r="N163" i="4"/>
  <c r="P163" i="4"/>
  <c r="Q163" i="4"/>
  <c r="R163" i="4"/>
  <c r="N164" i="4"/>
  <c r="P164" i="4"/>
  <c r="Q164" i="4"/>
  <c r="R164" i="4"/>
  <c r="N165" i="4"/>
  <c r="P165" i="4"/>
  <c r="Q165" i="4"/>
  <c r="R165" i="4"/>
  <c r="N166" i="4"/>
  <c r="P166" i="4"/>
  <c r="Q166" i="4"/>
  <c r="R166" i="4"/>
  <c r="N167" i="4"/>
  <c r="P167" i="4"/>
  <c r="Q167" i="4"/>
  <c r="R167" i="4"/>
  <c r="N168" i="4"/>
  <c r="P168" i="4"/>
  <c r="Q168" i="4"/>
  <c r="R168" i="4"/>
  <c r="N169" i="4"/>
  <c r="P169" i="4"/>
  <c r="Q169" i="4"/>
  <c r="R169" i="4"/>
  <c r="N170" i="4"/>
  <c r="P170" i="4"/>
  <c r="Q170" i="4"/>
  <c r="R170" i="4"/>
  <c r="N171" i="4"/>
  <c r="P171" i="4"/>
  <c r="Q171" i="4"/>
  <c r="R171" i="4"/>
  <c r="N172" i="4"/>
  <c r="P172" i="4"/>
  <c r="Q172" i="4"/>
  <c r="R172" i="4"/>
  <c r="N173" i="4"/>
  <c r="P173" i="4"/>
  <c r="Q173" i="4"/>
  <c r="R173" i="4"/>
  <c r="N174" i="4"/>
  <c r="P174" i="4"/>
  <c r="Q174" i="4"/>
  <c r="R174" i="4"/>
  <c r="N175" i="4"/>
  <c r="P175" i="4"/>
  <c r="Q175" i="4"/>
  <c r="R175" i="4"/>
  <c r="N176" i="4"/>
  <c r="P176" i="4"/>
  <c r="Q176" i="4"/>
  <c r="R176" i="4"/>
  <c r="N177" i="4"/>
  <c r="P177" i="4"/>
  <c r="Q177" i="4"/>
  <c r="R177" i="4"/>
  <c r="N178" i="4"/>
  <c r="P178" i="4"/>
  <c r="Q178" i="4"/>
  <c r="R178" i="4"/>
  <c r="N179" i="4"/>
  <c r="P179" i="4"/>
  <c r="Q179" i="4"/>
  <c r="R179" i="4"/>
  <c r="N180" i="4"/>
  <c r="P180" i="4"/>
  <c r="Q180" i="4"/>
  <c r="R180" i="4"/>
  <c r="N181" i="4"/>
  <c r="P181" i="4"/>
  <c r="Q181" i="4"/>
  <c r="R181" i="4"/>
  <c r="N182" i="4"/>
  <c r="P182" i="4"/>
  <c r="Q182" i="4"/>
  <c r="R182" i="4"/>
  <c r="N183" i="4"/>
  <c r="P183" i="4"/>
  <c r="Q183" i="4"/>
  <c r="R183" i="4"/>
  <c r="N184" i="4"/>
  <c r="P184" i="4"/>
  <c r="Q184" i="4"/>
  <c r="R184" i="4"/>
  <c r="N185" i="4"/>
  <c r="P185" i="4"/>
  <c r="Q185" i="4"/>
  <c r="R185" i="4"/>
  <c r="N186" i="4"/>
  <c r="P186" i="4"/>
  <c r="Q186" i="4"/>
  <c r="R186" i="4"/>
  <c r="N187" i="4"/>
  <c r="P187" i="4"/>
  <c r="Q187" i="4"/>
  <c r="R187" i="4"/>
  <c r="N188" i="4"/>
  <c r="P188" i="4"/>
  <c r="Q188" i="4"/>
  <c r="R188" i="4"/>
  <c r="N189" i="4"/>
  <c r="E25" i="7"/>
  <c r="P189" i="4"/>
  <c r="Q189" i="4"/>
  <c r="R189" i="4"/>
  <c r="N190" i="4"/>
  <c r="K371" i="4"/>
  <c r="P190" i="4"/>
  <c r="Q190" i="4"/>
  <c r="R190" i="4"/>
  <c r="N191" i="4"/>
  <c r="P191" i="4"/>
  <c r="Q191" i="4"/>
  <c r="R191" i="4"/>
  <c r="N192" i="4"/>
  <c r="P192" i="4"/>
  <c r="Q192" i="4"/>
  <c r="R192" i="4"/>
  <c r="N193" i="4"/>
  <c r="P193" i="4"/>
  <c r="Q193" i="4"/>
  <c r="R193" i="4"/>
  <c r="N194" i="4"/>
  <c r="P194" i="4"/>
  <c r="Q194" i="4"/>
  <c r="R194" i="4"/>
  <c r="N195" i="4"/>
  <c r="P195" i="4"/>
  <c r="Q195" i="4"/>
  <c r="R195" i="4"/>
  <c r="N196" i="4"/>
  <c r="P196" i="4"/>
  <c r="Q196" i="4"/>
  <c r="R196" i="4"/>
  <c r="N197" i="4"/>
  <c r="P197" i="4"/>
  <c r="Q197" i="4"/>
  <c r="R197" i="4"/>
  <c r="N198" i="4"/>
  <c r="P198" i="4"/>
  <c r="Q198" i="4"/>
  <c r="R198" i="4"/>
  <c r="N199" i="4"/>
  <c r="P199" i="4"/>
  <c r="Q199" i="4"/>
  <c r="R199" i="4"/>
  <c r="N200" i="4"/>
  <c r="P200" i="4"/>
  <c r="Q200" i="4"/>
  <c r="R200" i="4"/>
  <c r="N201" i="4"/>
  <c r="P201" i="4"/>
  <c r="Q201" i="4"/>
  <c r="R201" i="4"/>
  <c r="N202" i="4"/>
  <c r="P202" i="4"/>
  <c r="Q202" i="4"/>
  <c r="R202" i="4"/>
  <c r="N203" i="4"/>
  <c r="P203" i="4"/>
  <c r="Q203" i="4"/>
  <c r="R203" i="4"/>
  <c r="N204" i="4"/>
  <c r="P204" i="4"/>
  <c r="Q204" i="4"/>
  <c r="R204" i="4"/>
  <c r="N205" i="4"/>
  <c r="P205" i="4"/>
  <c r="Q205" i="4"/>
  <c r="R205" i="4"/>
  <c r="N206" i="4"/>
  <c r="P206" i="4"/>
  <c r="Q206" i="4"/>
  <c r="R206" i="4"/>
  <c r="N207" i="4"/>
  <c r="P207" i="4"/>
  <c r="Q207" i="4"/>
  <c r="R207" i="4"/>
  <c r="N208" i="4"/>
  <c r="P208" i="4"/>
  <c r="Q208" i="4"/>
  <c r="R208" i="4"/>
  <c r="N209" i="4"/>
  <c r="P209" i="4"/>
  <c r="Q209" i="4"/>
  <c r="R209" i="4"/>
  <c r="N210" i="4"/>
  <c r="P210" i="4"/>
  <c r="Q210" i="4"/>
  <c r="R210" i="4"/>
  <c r="N211" i="4"/>
  <c r="P211" i="4"/>
  <c r="Q211" i="4"/>
  <c r="R211" i="4"/>
  <c r="N212" i="4"/>
  <c r="P212" i="4"/>
  <c r="Q212" i="4"/>
  <c r="R212" i="4"/>
  <c r="N213" i="4"/>
  <c r="P213" i="4"/>
  <c r="Q213" i="4"/>
  <c r="R213" i="4"/>
  <c r="N214" i="4"/>
  <c r="P214" i="4"/>
  <c r="Q214" i="4"/>
  <c r="R214" i="4"/>
  <c r="N215" i="4"/>
  <c r="P215" i="4"/>
  <c r="Q215" i="4"/>
  <c r="R215" i="4"/>
  <c r="N216" i="4"/>
  <c r="P216" i="4"/>
  <c r="Q216" i="4"/>
  <c r="R216" i="4"/>
  <c r="N217" i="4"/>
  <c r="P217" i="4"/>
  <c r="Q217" i="4"/>
  <c r="R217" i="4"/>
  <c r="N218" i="4"/>
  <c r="P218" i="4"/>
  <c r="Q218" i="4"/>
  <c r="R218" i="4"/>
  <c r="N219" i="4"/>
  <c r="P219" i="4"/>
  <c r="Q219" i="4"/>
  <c r="R219" i="4"/>
  <c r="N220" i="4"/>
  <c r="P220" i="4"/>
  <c r="Q220" i="4"/>
  <c r="R220" i="4"/>
  <c r="N221" i="4"/>
  <c r="P221" i="4"/>
  <c r="Q221" i="4"/>
  <c r="R221" i="4"/>
  <c r="N222" i="4"/>
  <c r="P222" i="4"/>
  <c r="Q222" i="4"/>
  <c r="R222" i="4"/>
  <c r="N223" i="4"/>
  <c r="P223" i="4"/>
  <c r="Q223" i="4"/>
  <c r="R223" i="4"/>
  <c r="N224" i="4"/>
  <c r="P224" i="4"/>
  <c r="Q224" i="4"/>
  <c r="R224" i="4"/>
  <c r="N225" i="4"/>
  <c r="P225" i="4"/>
  <c r="Q225" i="4"/>
  <c r="R225" i="4"/>
  <c r="N226" i="4"/>
  <c r="P226" i="4"/>
  <c r="Q226" i="4"/>
  <c r="R226" i="4"/>
  <c r="N227" i="4"/>
  <c r="P227" i="4"/>
  <c r="Q227" i="4"/>
  <c r="R227" i="4"/>
  <c r="N228" i="4"/>
  <c r="P228" i="4"/>
  <c r="Q228" i="4"/>
  <c r="R228" i="4"/>
  <c r="N229" i="4"/>
  <c r="P229" i="4"/>
  <c r="Q229" i="4"/>
  <c r="R229" i="4"/>
  <c r="N230" i="4"/>
  <c r="P230" i="4"/>
  <c r="Q230" i="4"/>
  <c r="R230" i="4"/>
  <c r="N231" i="4"/>
  <c r="P231" i="4"/>
  <c r="Q231" i="4"/>
  <c r="R231" i="4"/>
  <c r="N232" i="4"/>
  <c r="P232" i="4"/>
  <c r="Q232" i="4"/>
  <c r="R232" i="4"/>
  <c r="N233" i="4"/>
  <c r="P233" i="4"/>
  <c r="Q233" i="4"/>
  <c r="R233" i="4"/>
  <c r="N234" i="4"/>
  <c r="P234" i="4"/>
  <c r="Q234" i="4"/>
  <c r="R234" i="4"/>
  <c r="N235" i="4"/>
  <c r="P235" i="4"/>
  <c r="Q235" i="4"/>
  <c r="R235" i="4"/>
  <c r="N236" i="4"/>
  <c r="P236" i="4"/>
  <c r="Q236" i="4"/>
  <c r="R236" i="4"/>
  <c r="N237" i="4"/>
  <c r="P237" i="4"/>
  <c r="Q237" i="4"/>
  <c r="R237" i="4"/>
  <c r="N238" i="4"/>
  <c r="P238" i="4"/>
  <c r="Q238" i="4"/>
  <c r="R238" i="4"/>
  <c r="N239" i="4"/>
  <c r="P239" i="4"/>
  <c r="Q239" i="4"/>
  <c r="R239" i="4"/>
  <c r="N240" i="4"/>
  <c r="P240" i="4"/>
  <c r="Q240" i="4"/>
  <c r="R240" i="4"/>
  <c r="N241" i="4"/>
  <c r="P241" i="4"/>
  <c r="Q241" i="4"/>
  <c r="R241" i="4"/>
  <c r="N242" i="4"/>
  <c r="P242" i="4"/>
  <c r="Q242" i="4"/>
  <c r="R242" i="4"/>
  <c r="N243" i="4"/>
  <c r="P243" i="4"/>
  <c r="Q243" i="4"/>
  <c r="R243" i="4"/>
  <c r="N244" i="4"/>
  <c r="P244" i="4"/>
  <c r="Q244" i="4"/>
  <c r="R244" i="4"/>
  <c r="N245" i="4"/>
  <c r="P245" i="4"/>
  <c r="Q245" i="4"/>
  <c r="R245" i="4"/>
  <c r="N246" i="4"/>
  <c r="P246" i="4"/>
  <c r="Q246" i="4"/>
  <c r="R246" i="4"/>
  <c r="N247" i="4"/>
  <c r="P247" i="4"/>
  <c r="Q247" i="4"/>
  <c r="R247" i="4"/>
  <c r="N248" i="4"/>
  <c r="P248" i="4"/>
  <c r="Q248" i="4"/>
  <c r="R248" i="4"/>
  <c r="N249" i="4"/>
  <c r="P249" i="4"/>
  <c r="Q249" i="4"/>
  <c r="R249" i="4"/>
  <c r="N250" i="4"/>
  <c r="P250" i="4"/>
  <c r="Q250" i="4"/>
  <c r="R250" i="4"/>
  <c r="N251" i="4"/>
  <c r="P251" i="4"/>
  <c r="Q251" i="4"/>
  <c r="P252" i="4"/>
  <c r="F25" i="7"/>
  <c r="R251" i="4"/>
  <c r="Q252" i="4"/>
</calcChain>
</file>

<file path=xl/sharedStrings.xml><?xml version="1.0" encoding="utf-8"?>
<sst xmlns="http://schemas.openxmlformats.org/spreadsheetml/2006/main" count="113" uniqueCount="84">
  <si>
    <t>Annual</t>
  </si>
  <si>
    <t>Semiannual</t>
  </si>
  <si>
    <t>Quarterly</t>
  </si>
  <si>
    <t>Bi-monthly</t>
  </si>
  <si>
    <t>Monthly</t>
  </si>
  <si>
    <t>Bi-weekly</t>
  </si>
  <si>
    <t>Weekly</t>
  </si>
  <si>
    <t>Daily</t>
  </si>
  <si>
    <t>Continuous</t>
  </si>
  <si>
    <t>Periods/Year</t>
  </si>
  <si>
    <t>Infinite</t>
  </si>
  <si>
    <t>Frequency</t>
  </si>
  <si>
    <t>Non-Annual Compounding Periods</t>
  </si>
  <si>
    <t>Present Value</t>
  </si>
  <si>
    <t>Annual Rate</t>
  </si>
  <si>
    <t xml:space="preserve">Retirement Savings Calculator </t>
  </si>
  <si>
    <t>Today's date</t>
  </si>
  <si>
    <t>Current age</t>
  </si>
  <si>
    <t>Retirement Age</t>
  </si>
  <si>
    <t>Annual Salary</t>
  </si>
  <si>
    <t>Annual emloyee conribuiton %</t>
  </si>
  <si>
    <t>Annual employer contribution %</t>
  </si>
  <si>
    <t>Contribution</t>
  </si>
  <si>
    <t>Annual Return</t>
  </si>
  <si>
    <t xml:space="preserve">Years </t>
  </si>
  <si>
    <t>Monthly Contribuition</t>
  </si>
  <si>
    <t>Enployee</t>
  </si>
  <si>
    <t>Enployer</t>
  </si>
  <si>
    <t>Total</t>
  </si>
  <si>
    <t xml:space="preserve">Employee </t>
  </si>
  <si>
    <t>Employer</t>
  </si>
  <si>
    <t>Fixed Interested rate</t>
  </si>
  <si>
    <t>Down payment</t>
  </si>
  <si>
    <t>Total interest</t>
  </si>
  <si>
    <t>Amount Borrowed</t>
  </si>
  <si>
    <t>Periods</t>
  </si>
  <si>
    <t>Rate</t>
  </si>
  <si>
    <t>Beginning</t>
  </si>
  <si>
    <t xml:space="preserve">Pmt </t>
  </si>
  <si>
    <t>Interest</t>
  </si>
  <si>
    <t xml:space="preserve">Principal </t>
  </si>
  <si>
    <t xml:space="preserve">Ending Balance </t>
  </si>
  <si>
    <t>PMT</t>
  </si>
  <si>
    <t>Cost of the property</t>
  </si>
  <si>
    <t>Loan amount</t>
  </si>
  <si>
    <t xml:space="preserve">Loan term in years </t>
  </si>
  <si>
    <t>Percentage of Down Payment</t>
  </si>
  <si>
    <t>Monthly Payment (PMT)</t>
  </si>
  <si>
    <t>OPTION 1</t>
  </si>
  <si>
    <t>OPTION 2</t>
  </si>
  <si>
    <t>OPTION 3</t>
  </si>
  <si>
    <t>Cost of the Property</t>
  </si>
  <si>
    <t>Coupon Date</t>
  </si>
  <si>
    <t>Required Return</t>
  </si>
  <si>
    <t xml:space="preserve">MORTGAGE CALCULATION </t>
  </si>
  <si>
    <t>Time to Maturity (Periods)</t>
  </si>
  <si>
    <t xml:space="preserve">Face Value </t>
  </si>
  <si>
    <t xml:space="preserve">BOND VALUATION </t>
  </si>
  <si>
    <t>Periods/Years</t>
  </si>
  <si>
    <t xml:space="preserve">TOTAL MONEY </t>
  </si>
  <si>
    <t xml:space="preserve">PRICE </t>
  </si>
  <si>
    <t>FV</t>
  </si>
  <si>
    <t xml:space="preserve">SENSITIVE ANALYSIS </t>
  </si>
  <si>
    <t>FCF</t>
  </si>
  <si>
    <t>WACC</t>
  </si>
  <si>
    <t>GROWTH RATE</t>
  </si>
  <si>
    <t xml:space="preserve">TERMINAL VALUE </t>
  </si>
  <si>
    <t xml:space="preserve">Discount Uneven Cash Flows-Net Present Value </t>
  </si>
  <si>
    <t xml:space="preserve">Net Present Value </t>
  </si>
  <si>
    <t>Discount Rate ( in %)</t>
  </si>
  <si>
    <t>Nominal</t>
  </si>
  <si>
    <t>Inflation</t>
  </si>
  <si>
    <t>Real</t>
  </si>
  <si>
    <t>Cash Flow ( in millions)</t>
  </si>
  <si>
    <t>Preiod 0</t>
  </si>
  <si>
    <t>Preiod 1</t>
  </si>
  <si>
    <t>Preiod 2</t>
  </si>
  <si>
    <t>Preiod 4</t>
  </si>
  <si>
    <t>Preiod 5</t>
  </si>
  <si>
    <t>Preiod 6</t>
  </si>
  <si>
    <t>Preiod 7</t>
  </si>
  <si>
    <t>Preiod 8</t>
  </si>
  <si>
    <t>Preiod 9</t>
  </si>
  <si>
    <t>Preiod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</si>
</sst>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£&quot;#,##0.00;[Red]\-&quot;£&quot;#,##0.00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[$$-409]* #,##0.00_);_([$$-409]* \(#,##0.00\);_([$$-409]* &quot;-&quot;??_);_(@_)"/>
    <numFmt numFmtId="167" formatCode="_-[$$-409]* #,##0.00_ ;_-[$$-409]* \-#,##0.00\ ;_-[$$-409]* &quot;-&quot;??_ ;_-@_ "/>
    <numFmt numFmtId="168" formatCode=";;;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1"/>
      <color rgb="FF002060"/>
      <name val="Times New Roman"/>
      <family val="1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7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rgb="FF00206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5"/>
      <color rgb="FF00206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9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rgb="FF000000"/>
      <name val="Calibri"/>
      <family val="2"/>
    </font>
    <font>
      <sz val="11"/>
      <color theme="0"/>
      <name val="Calibri"/>
      <family val="2"/>
      <scheme val="minor"/>
    </font>
    <font>
      <sz val="12"/>
      <color rgb="FF000000"/>
      <name val="Lucida Grande"/>
    </font>
    <font>
      <b/>
      <sz val="12"/>
      <color rgb="FF000090"/>
      <name val="Calibri"/>
      <scheme val="minor"/>
    </font>
    <font>
      <b/>
      <sz val="18"/>
      <color rgb="FF000090"/>
      <name val="Calibri"/>
      <scheme val="minor"/>
    </font>
    <font>
      <b/>
      <sz val="11"/>
      <color rgb="FF000090"/>
      <name val="Calibri"/>
      <scheme val="minor"/>
    </font>
    <font>
      <sz val="11"/>
      <color rgb="FF00009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/>
    <xf numFmtId="10" fontId="0" fillId="0" borderId="7" xfId="0" applyNumberFormat="1" applyBorder="1"/>
    <xf numFmtId="10" fontId="0" fillId="0" borderId="5" xfId="0" applyNumberFormat="1" applyBorder="1"/>
    <xf numFmtId="10" fontId="0" fillId="0" borderId="4" xfId="0" applyNumberFormat="1" applyBorder="1"/>
    <xf numFmtId="10" fontId="0" fillId="0" borderId="6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65" fontId="0" fillId="0" borderId="0" xfId="2" applyFont="1"/>
    <xf numFmtId="0" fontId="0" fillId="0" borderId="0" xfId="0" applyAlignment="1">
      <alignment horizontal="center"/>
    </xf>
    <xf numFmtId="164" fontId="0" fillId="0" borderId="0" xfId="0" applyNumberFormat="1"/>
    <xf numFmtId="164" fontId="0" fillId="3" borderId="0" xfId="0" applyNumberFormat="1" applyFill="1"/>
    <xf numFmtId="0" fontId="5" fillId="4" borderId="0" xfId="0" applyFont="1" applyFill="1"/>
    <xf numFmtId="0" fontId="5" fillId="4" borderId="1" xfId="0" applyFont="1" applyFill="1" applyBorder="1"/>
    <xf numFmtId="0" fontId="5" fillId="4" borderId="2" xfId="0" applyFont="1" applyFill="1" applyBorder="1"/>
    <xf numFmtId="0" fontId="5" fillId="4" borderId="3" xfId="0" applyFont="1" applyFill="1" applyBorder="1"/>
    <xf numFmtId="0" fontId="5" fillId="4" borderId="0" xfId="0" applyFont="1" applyFill="1" applyAlignment="1">
      <alignment horizontal="left"/>
    </xf>
    <xf numFmtId="166" fontId="0" fillId="0" borderId="0" xfId="0" applyNumberFormat="1"/>
    <xf numFmtId="0" fontId="6" fillId="2" borderId="0" xfId="0" applyFont="1" applyFill="1"/>
    <xf numFmtId="0" fontId="6" fillId="0" borderId="0" xfId="0" applyFont="1" applyFill="1"/>
    <xf numFmtId="0" fontId="0" fillId="3" borderId="0" xfId="0" applyFill="1"/>
    <xf numFmtId="0" fontId="4" fillId="2" borderId="0" xfId="0" applyFont="1" applyFill="1"/>
    <xf numFmtId="0" fontId="7" fillId="0" borderId="0" xfId="0" applyFont="1" applyFill="1"/>
    <xf numFmtId="0" fontId="7" fillId="0" borderId="0" xfId="0" applyFont="1"/>
    <xf numFmtId="0" fontId="8" fillId="5" borderId="0" xfId="0" applyFont="1" applyFill="1"/>
    <xf numFmtId="165" fontId="8" fillId="5" borderId="0" xfId="0" applyNumberFormat="1" applyFont="1" applyFill="1"/>
    <xf numFmtId="164" fontId="8" fillId="5" borderId="0" xfId="0" applyNumberFormat="1" applyFont="1" applyFill="1"/>
    <xf numFmtId="0" fontId="9" fillId="0" borderId="0" xfId="0" applyFont="1" applyFill="1" applyBorder="1"/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4" fontId="8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10" fontId="8" fillId="0" borderId="0" xfId="0" applyNumberFormat="1" applyFont="1" applyAlignment="1">
      <alignment wrapText="1"/>
    </xf>
    <xf numFmtId="10" fontId="8" fillId="3" borderId="0" xfId="1" applyNumberFormat="1" applyFont="1" applyFill="1" applyAlignment="1">
      <alignment wrapText="1"/>
    </xf>
    <xf numFmtId="165" fontId="8" fillId="0" borderId="0" xfId="2" applyFont="1" applyAlignment="1">
      <alignment wrapText="1"/>
    </xf>
    <xf numFmtId="166" fontId="8" fillId="0" borderId="0" xfId="2" applyNumberFormat="1" applyFont="1" applyAlignment="1">
      <alignment wrapText="1"/>
    </xf>
    <xf numFmtId="0" fontId="8" fillId="0" borderId="0" xfId="0" applyFont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wrapText="1"/>
    </xf>
    <xf numFmtId="165" fontId="4" fillId="6" borderId="0" xfId="2" applyFont="1" applyFill="1"/>
    <xf numFmtId="164" fontId="4" fillId="6" borderId="0" xfId="0" applyNumberFormat="1" applyFont="1" applyFill="1"/>
    <xf numFmtId="0" fontId="4" fillId="6" borderId="0" xfId="0" applyFont="1" applyFill="1"/>
    <xf numFmtId="0" fontId="0" fillId="0" borderId="0" xfId="0"/>
    <xf numFmtId="1" fontId="0" fillId="0" borderId="0" xfId="0" applyNumberFormat="1"/>
    <xf numFmtId="165" fontId="7" fillId="0" borderId="10" xfId="2" applyFont="1" applyFill="1" applyBorder="1"/>
    <xf numFmtId="9" fontId="7" fillId="0" borderId="10" xfId="2" applyNumberFormat="1" applyFont="1" applyFill="1" applyBorder="1"/>
    <xf numFmtId="166" fontId="7" fillId="0" borderId="10" xfId="0" applyNumberFormat="1" applyFont="1" applyFill="1" applyBorder="1"/>
    <xf numFmtId="10" fontId="7" fillId="0" borderId="10" xfId="0" applyNumberFormat="1" applyFont="1" applyFill="1" applyBorder="1"/>
    <xf numFmtId="0" fontId="4" fillId="2" borderId="10" xfId="0" applyFont="1" applyFill="1" applyBorder="1"/>
    <xf numFmtId="165" fontId="7" fillId="0" borderId="11" xfId="0" applyNumberFormat="1" applyFont="1" applyFill="1" applyBorder="1"/>
    <xf numFmtId="9" fontId="7" fillId="0" borderId="11" xfId="0" applyNumberFormat="1" applyFont="1" applyFill="1" applyBorder="1"/>
    <xf numFmtId="166" fontId="7" fillId="0" borderId="11" xfId="0" applyNumberFormat="1" applyFont="1" applyFill="1" applyBorder="1"/>
    <xf numFmtId="10" fontId="7" fillId="0" borderId="11" xfId="0" applyNumberFormat="1" applyFont="1" applyFill="1" applyBorder="1"/>
    <xf numFmtId="0" fontId="0" fillId="0" borderId="0" xfId="0"/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/>
    <xf numFmtId="167" fontId="8" fillId="0" borderId="0" xfId="0" applyNumberFormat="1" applyFont="1" applyFill="1" applyAlignment="1">
      <alignment wrapText="1"/>
    </xf>
    <xf numFmtId="8" fontId="0" fillId="0" borderId="0" xfId="0" applyNumberFormat="1" applyAlignment="1">
      <alignment horizontal="center"/>
    </xf>
    <xf numFmtId="0" fontId="8" fillId="0" borderId="0" xfId="0" applyNumberFormat="1" applyFont="1" applyAlignment="1">
      <alignment wrapText="1"/>
    </xf>
    <xf numFmtId="0" fontId="18" fillId="7" borderId="0" xfId="0" applyFont="1" applyFill="1" applyAlignment="1">
      <alignment horizontal="center" wrapText="1"/>
    </xf>
    <xf numFmtId="167" fontId="0" fillId="0" borderId="0" xfId="0" applyNumberFormat="1"/>
    <xf numFmtId="9" fontId="27" fillId="7" borderId="0" xfId="0" applyNumberFormat="1" applyFont="1" applyFill="1"/>
    <xf numFmtId="168" fontId="27" fillId="7" borderId="0" xfId="0" applyNumberFormat="1" applyFont="1" applyFill="1"/>
    <xf numFmtId="0" fontId="27" fillId="7" borderId="0" xfId="0" applyFont="1" applyFill="1"/>
    <xf numFmtId="167" fontId="27" fillId="7" borderId="0" xfId="0" applyNumberFormat="1" applyFont="1" applyFill="1"/>
    <xf numFmtId="0" fontId="0" fillId="0" borderId="0" xfId="0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0" fillId="0" borderId="0" xfId="0"/>
    <xf numFmtId="0" fontId="0" fillId="8" borderId="0" xfId="0" applyFill="1" applyAlignment="1"/>
    <xf numFmtId="0" fontId="2" fillId="8" borderId="0" xfId="0" applyFont="1" applyFill="1" applyAlignment="1"/>
    <xf numFmtId="0" fontId="0" fillId="8" borderId="0" xfId="0" applyFill="1"/>
    <xf numFmtId="0" fontId="15" fillId="8" borderId="0" xfId="0" applyFont="1" applyFill="1" applyAlignment="1">
      <alignment horizontal="left"/>
    </xf>
    <xf numFmtId="165" fontId="15" fillId="8" borderId="0" xfId="0" applyNumberFormat="1" applyFont="1" applyFill="1" applyBorder="1"/>
    <xf numFmtId="9" fontId="15" fillId="8" borderId="0" xfId="0" applyNumberFormat="1" applyFont="1" applyFill="1" applyBorder="1"/>
    <xf numFmtId="0" fontId="16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left"/>
    </xf>
    <xf numFmtId="164" fontId="11" fillId="8" borderId="0" xfId="0" applyNumberFormat="1" applyFont="1" applyFill="1" applyBorder="1" applyAlignment="1">
      <alignment horizontal="center"/>
    </xf>
    <xf numFmtId="0" fontId="15" fillId="8" borderId="0" xfId="0" applyFont="1" applyFill="1" applyAlignment="1">
      <alignment horizontal="center"/>
    </xf>
    <xf numFmtId="164" fontId="20" fillId="8" borderId="0" xfId="0" applyNumberFormat="1" applyFont="1" applyFill="1"/>
    <xf numFmtId="0" fontId="29" fillId="8" borderId="0" xfId="0" applyFont="1" applyFill="1" applyAlignment="1">
      <alignment horizontal="left" vertical="center"/>
    </xf>
    <xf numFmtId="0" fontId="29" fillId="8" borderId="0" xfId="0" applyFont="1" applyFill="1" applyAlignment="1">
      <alignment horizontal="center" vertical="center"/>
    </xf>
    <xf numFmtId="16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2" fontId="27" fillId="8" borderId="0" xfId="0" applyNumberFormat="1" applyFont="1" applyFill="1" applyBorder="1"/>
    <xf numFmtId="9" fontId="27" fillId="8" borderId="0" xfId="0" applyNumberFormat="1" applyFont="1" applyFill="1" applyBorder="1"/>
    <xf numFmtId="9" fontId="0" fillId="8" borderId="0" xfId="0" applyNumberFormat="1" applyFill="1" applyBorder="1"/>
    <xf numFmtId="0" fontId="0" fillId="8" borderId="0" xfId="0" applyFill="1" applyBorder="1"/>
    <xf numFmtId="0" fontId="19" fillId="8" borderId="0" xfId="0" applyFont="1" applyFill="1" applyAlignment="1">
      <alignment horizontal="left"/>
    </xf>
    <xf numFmtId="0" fontId="19" fillId="8" borderId="0" xfId="0" applyNumberFormat="1" applyFont="1" applyFill="1"/>
    <xf numFmtId="0" fontId="14" fillId="8" borderId="0" xfId="0" applyFont="1" applyFill="1"/>
    <xf numFmtId="167" fontId="0" fillId="8" borderId="0" xfId="0" applyNumberFormat="1" applyFill="1" applyBorder="1"/>
    <xf numFmtId="9" fontId="19" fillId="8" borderId="0" xfId="0" applyNumberFormat="1" applyFont="1" applyFill="1"/>
    <xf numFmtId="0" fontId="19" fillId="8" borderId="0" xfId="0" applyFont="1" applyFill="1"/>
    <xf numFmtId="0" fontId="20" fillId="8" borderId="0" xfId="0" applyFont="1" applyFill="1" applyBorder="1" applyAlignment="1">
      <alignment horizontal="left"/>
    </xf>
    <xf numFmtId="2" fontId="17" fillId="8" borderId="0" xfId="0" applyNumberFormat="1" applyFont="1" applyFill="1" applyAlignment="1">
      <alignment horizontal="right"/>
    </xf>
    <xf numFmtId="0" fontId="5" fillId="8" borderId="0" xfId="0" applyFont="1" applyFill="1"/>
    <xf numFmtId="164" fontId="0" fillId="8" borderId="0" xfId="0" applyNumberFormat="1" applyFill="1"/>
    <xf numFmtId="0" fontId="30" fillId="8" borderId="0" xfId="0" applyFont="1" applyFill="1" applyAlignment="1">
      <alignment horizontal="center" vertical="center"/>
    </xf>
    <xf numFmtId="9" fontId="0" fillId="8" borderId="0" xfId="0" applyNumberFormat="1" applyFill="1"/>
    <xf numFmtId="9" fontId="0" fillId="8" borderId="0" xfId="1" applyFont="1" applyFill="1"/>
    <xf numFmtId="0" fontId="31" fillId="8" borderId="2" xfId="0" applyFont="1" applyFill="1" applyBorder="1" applyAlignment="1">
      <alignment horizontal="center"/>
    </xf>
    <xf numFmtId="0" fontId="31" fillId="8" borderId="3" xfId="0" applyFont="1" applyFill="1" applyBorder="1" applyAlignment="1">
      <alignment horizontal="center"/>
    </xf>
    <xf numFmtId="0" fontId="32" fillId="8" borderId="0" xfId="0" applyFont="1" applyFill="1"/>
    <xf numFmtId="0" fontId="31" fillId="8" borderId="0" xfId="0" applyFont="1" applyFill="1"/>
    <xf numFmtId="164" fontId="32" fillId="8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2B2B2"/>
      <color rgb="FF66FF6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Total Interests </a:t>
            </a:r>
          </a:p>
        </c:rich>
      </c:tx>
      <c:layout/>
      <c:overlay val="0"/>
      <c:spPr>
        <a:solidFill>
          <a:srgbClr val="002060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983905990548"/>
          <c:y val="0.15882503192848"/>
          <c:w val="0.746517978412365"/>
          <c:h val="0.6920139580253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'Mortgage Calculator '!$E$25:$G$25</c:f>
              <c:numCache>
                <c:formatCode>"$"#,##0.00_);[Red]\("$"#,##0.00\)</c:formatCode>
                <c:ptCount val="3"/>
                <c:pt idx="0" formatCode="_(&quot;$&quot;* #,##0.00_);_(&quot;$&quot;* \(#,##0.00\);_(&quot;$&quot;* &quot;-&quot;??_);_(@_)">
                  <c:v>0.0</c:v>
                </c:pt>
                <c:pt idx="1">
                  <c:v>0.0</c:v>
                </c:pt>
                <c:pt idx="2" formatCode="_(&quot;$&quot;* #,##0.00_);_(&quot;$&quot;* \(#,##0.00\);_(&quot;$&quot;* &quot;-&quot;??_);_(@_)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36-4D0E-BAA1-0843A5F8B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5249240"/>
        <c:axId val="2125252824"/>
      </c:barChart>
      <c:catAx>
        <c:axId val="2125249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252824"/>
        <c:crosses val="autoZero"/>
        <c:auto val="1"/>
        <c:lblAlgn val="ctr"/>
        <c:lblOffset val="100"/>
        <c:noMultiLvlLbl val="0"/>
      </c:catAx>
      <c:valAx>
        <c:axId val="21252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24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Monthly</a:t>
            </a:r>
            <a:r>
              <a:rPr lang="en-US" baseline="0">
                <a:solidFill>
                  <a:schemeClr val="bg1"/>
                </a:solidFill>
              </a:rPr>
              <a:t> Payments </a:t>
            </a:r>
            <a:endParaRPr lang="en-US">
              <a:solidFill>
                <a:schemeClr val="bg1"/>
              </a:solidFill>
            </a:endParaRPr>
          </a:p>
        </c:rich>
      </c:tx>
      <c:layout/>
      <c:overlay val="0"/>
      <c:spPr>
        <a:solidFill>
          <a:srgbClr val="002060"/>
        </a:solidFill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7650756135416"/>
          <c:y val="0.10590107005855"/>
          <c:w val="0.815682633420823"/>
          <c:h val="0.7208876494604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'Mortgage Calculator '!$E$24:$G$24</c:f>
              <c:numCache>
                <c:formatCode>"$"#,##0.00_);[Red]\("$"#,##0.00\)</c:formatCode>
                <c:ptCount val="3"/>
                <c:pt idx="0" formatCode="_(&quot;$&quot;* #,##0.00_);_(&quot;$&quot;* \(#,##0.00\);_(&quot;$&quot;* &quot;-&quot;??_);_(@_)">
                  <c:v>0.0</c:v>
                </c:pt>
                <c:pt idx="1">
                  <c:v>0.0</c:v>
                </c:pt>
                <c:pt idx="2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33-42E2-B07B-85E4DC60B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2377480"/>
        <c:axId val="2122373784"/>
      </c:barChart>
      <c:catAx>
        <c:axId val="2122377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373784"/>
        <c:crosses val="autoZero"/>
        <c:auto val="1"/>
        <c:lblAlgn val="ctr"/>
        <c:lblOffset val="100"/>
        <c:noMultiLvlLbl val="0"/>
      </c:catAx>
      <c:valAx>
        <c:axId val="21223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37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croll" dx="22" fmlaLink="$D$7" horiz="1" max="4" min="1" page="10"/>
</file>

<file path=xl/ctrlProps/ctrlProp12.xml><?xml version="1.0" encoding="utf-8"?>
<formControlPr xmlns="http://schemas.microsoft.com/office/spreadsheetml/2009/9/main" objectType="Scroll" dx="22" fmlaLink="$D$3" horiz="1" inc="10" max="200" min="1" page="10" val="2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Spin" dx="22" fmlaLink="$C$5" max="100" min="20" page="10" val="28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66675</xdr:rowOff>
    </xdr:from>
    <xdr:to>
      <xdr:col>5</xdr:col>
      <xdr:colOff>600075</xdr:colOff>
      <xdr:row>26</xdr:row>
      <xdr:rowOff>85724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66675"/>
          <a:ext cx="5481637" cy="4724399"/>
        </a:xfrm>
        <a:prstGeom prst="rect">
          <a:avLst/>
        </a:prstGeom>
        <a:solidFill>
          <a:srgbClr val="002060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101600</xdr:rowOff>
        </xdr:from>
        <xdr:to>
          <xdr:col>8</xdr:col>
          <xdr:colOff>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FUTURE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101600</xdr:rowOff>
        </xdr:from>
        <xdr:to>
          <xdr:col>7</xdr:col>
          <xdr:colOff>622300</xdr:colOff>
          <xdr:row>10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BOND 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152400</xdr:rowOff>
        </xdr:from>
        <xdr:to>
          <xdr:col>7</xdr:col>
          <xdr:colOff>622300</xdr:colOff>
          <xdr:row>25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RETIREMENT 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165100</xdr:rowOff>
        </xdr:from>
        <xdr:to>
          <xdr:col>7</xdr:col>
          <xdr:colOff>609600</xdr:colOff>
          <xdr:row>30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MORTGAGE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139700</xdr:rowOff>
        </xdr:from>
        <xdr:to>
          <xdr:col>7</xdr:col>
          <xdr:colOff>622300</xdr:colOff>
          <xdr:row>16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DCF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165100</xdr:rowOff>
        </xdr:from>
        <xdr:to>
          <xdr:col>7</xdr:col>
          <xdr:colOff>622300</xdr:colOff>
          <xdr:row>20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SENSITIVE ANALYSIS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25400</xdr:rowOff>
        </xdr:from>
        <xdr:to>
          <xdr:col>4</xdr:col>
          <xdr:colOff>1447800</xdr:colOff>
          <xdr:row>3</xdr:row>
          <xdr:rowOff>25400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6</xdr:row>
          <xdr:rowOff>12700</xdr:rowOff>
        </xdr:from>
        <xdr:to>
          <xdr:col>1</xdr:col>
          <xdr:colOff>1168400</xdr:colOff>
          <xdr:row>7</xdr:row>
          <xdr:rowOff>63500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4</xdr:row>
          <xdr:rowOff>0</xdr:rowOff>
        </xdr:from>
        <xdr:to>
          <xdr:col>4</xdr:col>
          <xdr:colOff>1447800</xdr:colOff>
          <xdr:row>6</xdr:row>
          <xdr:rowOff>25400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6</xdr:row>
          <xdr:rowOff>266700</xdr:rowOff>
        </xdr:from>
        <xdr:to>
          <xdr:col>4</xdr:col>
          <xdr:colOff>1447800</xdr:colOff>
          <xdr:row>9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7</xdr:row>
          <xdr:rowOff>12700</xdr:rowOff>
        </xdr:from>
        <xdr:to>
          <xdr:col>3</xdr:col>
          <xdr:colOff>1473200</xdr:colOff>
          <xdr:row>8</xdr:row>
          <xdr:rowOff>101600</xdr:rowOff>
        </xdr:to>
        <xdr:sp macro="" textlink="">
          <xdr:nvSpPr>
            <xdr:cNvPr id="10244" name="Scroll Bar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2</xdr:row>
          <xdr:rowOff>215900</xdr:rowOff>
        </xdr:from>
        <xdr:to>
          <xdr:col>3</xdr:col>
          <xdr:colOff>1473200</xdr:colOff>
          <xdr:row>4</xdr:row>
          <xdr:rowOff>0</xdr:rowOff>
        </xdr:to>
        <xdr:sp macro="" textlink="">
          <xdr:nvSpPr>
            <xdr:cNvPr id="10246" name="Scroll Bar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101600</xdr:rowOff>
        </xdr:from>
        <xdr:to>
          <xdr:col>8</xdr:col>
          <xdr:colOff>12700</xdr:colOff>
          <xdr:row>9</xdr:row>
          <xdr:rowOff>152400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4</xdr:row>
          <xdr:rowOff>38100</xdr:rowOff>
        </xdr:from>
        <xdr:to>
          <xdr:col>8</xdr:col>
          <xdr:colOff>12700</xdr:colOff>
          <xdr:row>6</xdr:row>
          <xdr:rowOff>165100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0</xdr:row>
          <xdr:rowOff>139700</xdr:rowOff>
        </xdr:from>
        <xdr:to>
          <xdr:col>8</xdr:col>
          <xdr:colOff>0</xdr:colOff>
          <xdr:row>3</xdr:row>
          <xdr:rowOff>76200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50800</xdr:rowOff>
        </xdr:from>
        <xdr:to>
          <xdr:col>8</xdr:col>
          <xdr:colOff>12700</xdr:colOff>
          <xdr:row>14</xdr:row>
          <xdr:rowOff>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2</xdr:row>
          <xdr:rowOff>12700</xdr:rowOff>
        </xdr:from>
        <xdr:to>
          <xdr:col>4</xdr:col>
          <xdr:colOff>12700</xdr:colOff>
          <xdr:row>4</xdr:row>
          <xdr:rowOff>12700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12700</xdr:rowOff>
        </xdr:from>
        <xdr:to>
          <xdr:col>3</xdr:col>
          <xdr:colOff>673100</xdr:colOff>
          <xdr:row>7</xdr:row>
          <xdr:rowOff>76200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88900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12700</xdr:rowOff>
        </xdr:from>
        <xdr:to>
          <xdr:col>4</xdr:col>
          <xdr:colOff>12700</xdr:colOff>
          <xdr:row>13</xdr:row>
          <xdr:rowOff>50800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0</xdr:rowOff>
        </xdr:from>
        <xdr:to>
          <xdr:col>3</xdr:col>
          <xdr:colOff>762000</xdr:colOff>
          <xdr:row>9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38100</xdr:rowOff>
        </xdr:from>
        <xdr:to>
          <xdr:col>3</xdr:col>
          <xdr:colOff>762000</xdr:colOff>
          <xdr:row>10</xdr:row>
          <xdr:rowOff>38100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8</xdr:row>
          <xdr:rowOff>12700</xdr:rowOff>
        </xdr:from>
        <xdr:to>
          <xdr:col>6</xdr:col>
          <xdr:colOff>419100</xdr:colOff>
          <xdr:row>10</xdr:row>
          <xdr:rowOff>12700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4</xdr:row>
          <xdr:rowOff>0</xdr:rowOff>
        </xdr:from>
        <xdr:to>
          <xdr:col>3</xdr:col>
          <xdr:colOff>571500</xdr:colOff>
          <xdr:row>5</xdr:row>
          <xdr:rowOff>25400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114300</xdr:rowOff>
        </xdr:from>
        <xdr:to>
          <xdr:col>5</xdr:col>
          <xdr:colOff>419100</xdr:colOff>
          <xdr:row>10</xdr:row>
          <xdr:rowOff>76200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0</xdr:rowOff>
        </xdr:from>
        <xdr:to>
          <xdr:col>5</xdr:col>
          <xdr:colOff>393700</xdr:colOff>
          <xdr:row>16</xdr:row>
          <xdr:rowOff>12700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11</xdr:row>
          <xdr:rowOff>25400</xdr:rowOff>
        </xdr:from>
        <xdr:to>
          <xdr:col>5</xdr:col>
          <xdr:colOff>406400</xdr:colOff>
          <xdr:row>13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1400176</xdr:colOff>
      <xdr:row>2</xdr:row>
      <xdr:rowOff>142875</xdr:rowOff>
    </xdr:from>
    <xdr:to>
      <xdr:col>7</xdr:col>
      <xdr:colOff>0</xdr:colOff>
      <xdr:row>15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114300</xdr:rowOff>
    </xdr:from>
    <xdr:to>
      <xdr:col>4</xdr:col>
      <xdr:colOff>1390649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7</xdr:row>
          <xdr:rowOff>25400</xdr:rowOff>
        </xdr:from>
        <xdr:to>
          <xdr:col>11</xdr:col>
          <xdr:colOff>660400</xdr:colOff>
          <xdr:row>11</xdr:row>
          <xdr:rowOff>139700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38100</xdr:rowOff>
        </xdr:from>
        <xdr:to>
          <xdr:col>11</xdr:col>
          <xdr:colOff>647700</xdr:colOff>
          <xdr:row>14</xdr:row>
          <xdr:rowOff>723900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6" Type="http://schemas.openxmlformats.org/officeDocument/2006/relationships/ctrlProp" Target="../ctrlProps/ctrlProp10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6" Type="http://schemas.openxmlformats.org/officeDocument/2006/relationships/ctrlProp" Target="../ctrlProps/ctrlProp14.xml"/><Relationship Id="rId7" Type="http://schemas.openxmlformats.org/officeDocument/2006/relationships/ctrlProp" Target="../ctrlProps/ctrlProp15.xml"/><Relationship Id="rId8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4" Type="http://schemas.openxmlformats.org/officeDocument/2006/relationships/ctrlProp" Target="../ctrlProps/ctrlProp18.xml"/><Relationship Id="rId5" Type="http://schemas.openxmlformats.org/officeDocument/2006/relationships/ctrlProp" Target="../ctrlProps/ctrlProp19.xml"/><Relationship Id="rId6" Type="http://schemas.openxmlformats.org/officeDocument/2006/relationships/ctrlProp" Target="../ctrlProps/ctrlProp20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4" Type="http://schemas.openxmlformats.org/officeDocument/2006/relationships/ctrlProp" Target="../ctrlProps/ctrlProp22.xml"/><Relationship Id="rId5" Type="http://schemas.openxmlformats.org/officeDocument/2006/relationships/ctrlProp" Target="../ctrlProps/ctrlProp23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4" Type="http://schemas.openxmlformats.org/officeDocument/2006/relationships/ctrlProp" Target="../ctrlProps/ctrlProp25.xml"/><Relationship Id="rId5" Type="http://schemas.openxmlformats.org/officeDocument/2006/relationships/ctrlProp" Target="../ctrlProps/ctrlProp26.xml"/><Relationship Id="rId6" Type="http://schemas.openxmlformats.org/officeDocument/2006/relationships/ctrlProp" Target="../ctrlProps/ctrlProp27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4" Type="http://schemas.openxmlformats.org/officeDocument/2006/relationships/ctrlProp" Target="../ctrlProps/ctrlProp29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2060"/>
  </sheetPr>
  <dimension ref="A1:AB66"/>
  <sheetViews>
    <sheetView workbookViewId="0">
      <selection activeCell="K25" sqref="K25"/>
    </sheetView>
  </sheetViews>
  <sheetFormatPr baseColWidth="10" defaultColWidth="8.83203125" defaultRowHeight="14" x14ac:dyDescent="0"/>
  <cols>
    <col min="1" max="1" width="8.83203125" style="59"/>
    <col min="2" max="2" width="34.5" style="59" customWidth="1"/>
    <col min="3" max="6" width="8.83203125" style="59"/>
    <col min="7" max="7" width="25.1640625" style="59" customWidth="1"/>
    <col min="8" max="25" width="8.83203125" style="59"/>
  </cols>
  <sheetData>
    <row r="1" spans="1:26">
      <c r="A1" s="62"/>
      <c r="B1" s="62"/>
      <c r="C1" s="62"/>
      <c r="D1" s="62"/>
      <c r="E1" s="62"/>
      <c r="F1" s="62"/>
      <c r="G1" s="62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1"/>
    </row>
    <row r="2" spans="1:26">
      <c r="A2" s="62"/>
      <c r="B2" s="62"/>
      <c r="C2" s="62"/>
      <c r="D2" s="62"/>
      <c r="E2" s="62"/>
      <c r="F2" s="62"/>
      <c r="G2" s="62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1"/>
    </row>
    <row r="3" spans="1:26">
      <c r="A3" s="62"/>
      <c r="B3" s="62"/>
      <c r="C3" s="62"/>
      <c r="D3" s="62"/>
      <c r="E3" s="62"/>
      <c r="F3" s="62"/>
      <c r="G3" s="62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1"/>
    </row>
    <row r="4" spans="1:26">
      <c r="A4" s="62"/>
      <c r="B4" s="62"/>
      <c r="C4" s="62"/>
      <c r="D4" s="62"/>
      <c r="E4" s="62"/>
      <c r="F4" s="62"/>
      <c r="G4" s="62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1"/>
    </row>
    <row r="5" spans="1:26">
      <c r="A5" s="62"/>
      <c r="B5" s="62"/>
      <c r="C5" s="62"/>
      <c r="D5" s="62"/>
      <c r="E5" s="62"/>
      <c r="F5" s="62"/>
      <c r="G5" s="62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1"/>
    </row>
    <row r="6" spans="1:26">
      <c r="A6" s="62"/>
      <c r="B6" s="62"/>
      <c r="C6" s="62"/>
      <c r="D6" s="62"/>
      <c r="E6" s="62"/>
      <c r="F6" s="62"/>
      <c r="G6" s="62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1"/>
    </row>
    <row r="7" spans="1:26">
      <c r="A7" s="62"/>
      <c r="B7" s="62"/>
      <c r="C7" s="62"/>
      <c r="D7" s="62"/>
      <c r="E7" s="62"/>
      <c r="F7" s="62"/>
      <c r="G7" s="62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1"/>
    </row>
    <row r="8" spans="1:26">
      <c r="A8" s="62"/>
      <c r="B8" s="62"/>
      <c r="C8" s="62"/>
      <c r="D8" s="62"/>
      <c r="E8" s="62"/>
      <c r="F8" s="62"/>
      <c r="G8" s="62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1"/>
    </row>
    <row r="9" spans="1:26">
      <c r="A9" s="62"/>
      <c r="B9" s="62"/>
      <c r="C9" s="62"/>
      <c r="D9" s="62"/>
      <c r="E9" s="62"/>
      <c r="F9" s="62"/>
      <c r="G9" s="62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1"/>
    </row>
    <row r="10" spans="1:26">
      <c r="A10" s="62"/>
      <c r="B10" s="62"/>
      <c r="C10" s="62"/>
      <c r="D10" s="62"/>
      <c r="E10" s="62"/>
      <c r="F10" s="62"/>
      <c r="G10" s="62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1"/>
    </row>
    <row r="11" spans="1:26">
      <c r="A11" s="62"/>
      <c r="B11" s="62"/>
      <c r="C11" s="62"/>
      <c r="D11" s="62"/>
      <c r="E11" s="62"/>
      <c r="F11" s="62"/>
      <c r="G11" s="62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1"/>
    </row>
    <row r="12" spans="1:26">
      <c r="A12" s="62"/>
      <c r="B12" s="62"/>
      <c r="C12" s="62"/>
      <c r="D12" s="62"/>
      <c r="E12" s="62"/>
      <c r="F12" s="62"/>
      <c r="G12" s="62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1"/>
    </row>
    <row r="13" spans="1:26">
      <c r="A13" s="62"/>
      <c r="B13" s="62"/>
      <c r="C13" s="62"/>
      <c r="D13" s="62"/>
      <c r="E13" s="62"/>
      <c r="F13" s="62"/>
      <c r="G13" s="62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1"/>
    </row>
    <row r="14" spans="1:26" s="59" customFormat="1">
      <c r="A14" s="62"/>
      <c r="B14" s="62"/>
      <c r="C14" s="62"/>
      <c r="D14" s="62"/>
      <c r="E14" s="62"/>
      <c r="F14" s="62"/>
      <c r="G14" s="62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1"/>
    </row>
    <row r="15" spans="1:26">
      <c r="A15" s="62"/>
      <c r="B15" s="62"/>
      <c r="C15" s="62"/>
      <c r="D15" s="62"/>
      <c r="E15" s="62"/>
      <c r="F15" s="62"/>
      <c r="G15" s="62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1"/>
    </row>
    <row r="16" spans="1:26">
      <c r="A16" s="62"/>
      <c r="B16" s="62"/>
      <c r="C16" s="62"/>
      <c r="D16" s="62"/>
      <c r="E16" s="62"/>
      <c r="F16" s="62"/>
      <c r="G16" s="62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1"/>
    </row>
    <row r="17" spans="1:26">
      <c r="A17" s="62"/>
      <c r="B17" s="62"/>
      <c r="C17" s="62"/>
      <c r="D17" s="62"/>
      <c r="E17" s="62"/>
      <c r="F17" s="62"/>
      <c r="G17" s="62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1"/>
    </row>
    <row r="18" spans="1:26">
      <c r="A18" s="62"/>
      <c r="B18" s="62"/>
      <c r="C18" s="62"/>
      <c r="D18" s="62"/>
      <c r="E18" s="62"/>
      <c r="F18" s="62"/>
      <c r="G18" s="62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1"/>
    </row>
    <row r="19" spans="1:26">
      <c r="A19" s="62"/>
      <c r="B19" s="62"/>
      <c r="C19" s="62"/>
      <c r="D19" s="62"/>
      <c r="E19" s="62"/>
      <c r="F19" s="62"/>
      <c r="G19" s="62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1"/>
    </row>
    <row r="20" spans="1:26">
      <c r="A20" s="62"/>
      <c r="B20" s="62"/>
      <c r="C20" s="62"/>
      <c r="D20" s="62"/>
      <c r="E20" s="62"/>
      <c r="F20" s="62"/>
      <c r="G20" s="62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1"/>
    </row>
    <row r="21" spans="1:26">
      <c r="A21" s="62"/>
      <c r="B21" s="62"/>
      <c r="C21" s="62"/>
      <c r="D21" s="62"/>
      <c r="E21" s="62"/>
      <c r="F21" s="62"/>
      <c r="G21" s="62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1"/>
    </row>
    <row r="22" spans="1:26">
      <c r="A22" s="62"/>
      <c r="B22" s="62"/>
      <c r="C22" s="62"/>
      <c r="D22" s="62"/>
      <c r="E22" s="62"/>
      <c r="F22" s="62"/>
      <c r="G22" s="62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1"/>
    </row>
    <row r="23" spans="1:26">
      <c r="A23" s="62"/>
      <c r="B23" s="62"/>
      <c r="C23" s="62"/>
      <c r="D23" s="62"/>
      <c r="E23" s="62"/>
      <c r="F23" s="62"/>
      <c r="G23" s="62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1"/>
    </row>
    <row r="24" spans="1:26">
      <c r="A24" s="62"/>
      <c r="B24" s="62"/>
      <c r="C24" s="62"/>
      <c r="D24" s="62"/>
      <c r="E24" s="62"/>
      <c r="F24" s="62"/>
      <c r="G24" s="62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1"/>
    </row>
    <row r="25" spans="1:26">
      <c r="A25" s="62"/>
      <c r="B25" s="62"/>
      <c r="C25" s="62"/>
      <c r="D25" s="62"/>
      <c r="E25" s="62"/>
      <c r="F25" s="62"/>
      <c r="G25" s="62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1"/>
    </row>
    <row r="26" spans="1:26">
      <c r="A26" s="62"/>
      <c r="B26" s="62"/>
      <c r="C26" s="62"/>
      <c r="D26" s="62"/>
      <c r="E26" s="62"/>
      <c r="F26" s="62"/>
      <c r="G26" s="62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1"/>
    </row>
    <row r="27" spans="1:26">
      <c r="A27" s="62"/>
      <c r="B27" s="62"/>
      <c r="C27" s="62"/>
      <c r="D27" s="62"/>
      <c r="E27" s="62"/>
      <c r="F27" s="62"/>
      <c r="G27" s="62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1"/>
    </row>
    <row r="28" spans="1:26">
      <c r="A28" s="62"/>
      <c r="B28" s="62"/>
      <c r="C28" s="62"/>
      <c r="D28" s="62"/>
      <c r="E28" s="62"/>
      <c r="F28" s="62"/>
      <c r="G28" s="62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1"/>
    </row>
    <row r="29" spans="1:26">
      <c r="A29" s="62"/>
      <c r="B29" s="62"/>
      <c r="C29" s="62"/>
      <c r="D29" s="62"/>
      <c r="E29" s="62"/>
      <c r="F29" s="62"/>
      <c r="G29" s="62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1"/>
    </row>
    <row r="30" spans="1:26">
      <c r="A30" s="62"/>
      <c r="B30" s="62"/>
      <c r="C30" s="62"/>
      <c r="D30" s="62"/>
      <c r="E30" s="62"/>
      <c r="F30" s="62"/>
      <c r="G30" s="62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1"/>
    </row>
    <row r="31" spans="1:26">
      <c r="A31" s="62"/>
      <c r="B31" s="62"/>
      <c r="C31" s="62"/>
      <c r="D31" s="62"/>
      <c r="E31" s="62"/>
      <c r="F31" s="62"/>
      <c r="G31" s="62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1"/>
    </row>
    <row r="32" spans="1:26">
      <c r="A32" s="62"/>
      <c r="B32" s="62"/>
      <c r="C32" s="62"/>
      <c r="D32" s="62"/>
      <c r="E32" s="62"/>
      <c r="F32" s="62"/>
      <c r="G32" s="62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1"/>
    </row>
    <row r="33" spans="1:26">
      <c r="A33" s="62"/>
      <c r="B33" s="62"/>
      <c r="C33" s="62"/>
      <c r="D33" s="62"/>
      <c r="E33" s="62"/>
      <c r="F33" s="62"/>
      <c r="G33" s="62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1"/>
    </row>
    <row r="34" spans="1:26">
      <c r="A34" s="62"/>
      <c r="B34" s="62"/>
      <c r="C34" s="62"/>
      <c r="D34" s="62"/>
      <c r="E34" s="62"/>
      <c r="F34" s="62"/>
      <c r="G34" s="62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1"/>
    </row>
    <row r="35" spans="1:26">
      <c r="A35" s="62"/>
      <c r="B35" s="62"/>
      <c r="C35" s="62"/>
      <c r="D35" s="62"/>
      <c r="E35" s="62"/>
      <c r="F35" s="62"/>
      <c r="G35" s="62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1"/>
    </row>
    <row r="36" spans="1:26">
      <c r="A36" s="62"/>
      <c r="B36" s="62"/>
      <c r="C36" s="62"/>
      <c r="D36" s="62"/>
      <c r="E36" s="62"/>
      <c r="F36" s="62"/>
      <c r="G36" s="62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1"/>
    </row>
    <row r="37" spans="1:26">
      <c r="A37" s="62"/>
      <c r="B37" s="62"/>
      <c r="C37" s="62"/>
      <c r="D37" s="62"/>
      <c r="E37" s="62"/>
      <c r="F37" s="62"/>
      <c r="G37" s="62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1"/>
    </row>
    <row r="38" spans="1:26">
      <c r="A38" s="62"/>
      <c r="B38" s="62"/>
      <c r="C38" s="62"/>
      <c r="D38" s="62"/>
      <c r="E38" s="62"/>
      <c r="F38" s="62"/>
      <c r="G38" s="62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1"/>
    </row>
    <row r="39" spans="1:26">
      <c r="A39" s="62"/>
      <c r="B39" s="62"/>
      <c r="C39" s="62"/>
      <c r="D39" s="62"/>
      <c r="E39" s="62"/>
      <c r="F39" s="62"/>
      <c r="G39" s="62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1"/>
    </row>
    <row r="40" spans="1:26">
      <c r="A40" s="62"/>
      <c r="B40" s="62"/>
      <c r="C40" s="62"/>
      <c r="D40" s="62"/>
      <c r="E40" s="62"/>
      <c r="F40" s="62"/>
      <c r="G40" s="62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1"/>
    </row>
    <row r="41" spans="1:26">
      <c r="A41" s="62"/>
      <c r="B41" s="62"/>
      <c r="C41" s="62"/>
      <c r="D41" s="62"/>
      <c r="E41" s="62"/>
      <c r="F41" s="62"/>
      <c r="G41" s="62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1"/>
    </row>
    <row r="42" spans="1:26">
      <c r="A42" s="62"/>
      <c r="B42" s="62"/>
      <c r="C42" s="62"/>
      <c r="D42" s="62"/>
      <c r="E42" s="62"/>
      <c r="F42" s="62"/>
      <c r="G42" s="62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1"/>
    </row>
    <row r="43" spans="1:26">
      <c r="A43" s="62"/>
      <c r="B43" s="62"/>
      <c r="C43" s="62"/>
      <c r="D43" s="62"/>
      <c r="E43" s="62"/>
      <c r="F43" s="62"/>
      <c r="G43" s="62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1"/>
    </row>
    <row r="44" spans="1:26">
      <c r="A44" s="62"/>
      <c r="B44" s="62"/>
      <c r="C44" s="62"/>
      <c r="D44" s="62"/>
      <c r="E44" s="62"/>
      <c r="F44" s="62"/>
      <c r="G44" s="62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1"/>
    </row>
    <row r="45" spans="1:26">
      <c r="A45" s="62"/>
      <c r="B45" s="62"/>
      <c r="C45" s="62"/>
      <c r="D45" s="62"/>
      <c r="E45" s="62"/>
      <c r="F45" s="62"/>
      <c r="G45" s="62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1"/>
    </row>
    <row r="46" spans="1:26">
      <c r="A46" s="62"/>
      <c r="B46" s="62"/>
      <c r="C46" s="62"/>
      <c r="D46" s="62"/>
      <c r="E46" s="62"/>
      <c r="F46" s="62"/>
      <c r="G46" s="62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1"/>
    </row>
    <row r="47" spans="1:26">
      <c r="A47" s="62"/>
      <c r="B47" s="62"/>
      <c r="C47" s="62"/>
      <c r="D47" s="62"/>
      <c r="E47" s="62"/>
      <c r="F47" s="62"/>
      <c r="G47" s="62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1"/>
    </row>
    <row r="48" spans="1:26">
      <c r="A48" s="62"/>
      <c r="B48" s="62"/>
      <c r="C48" s="62"/>
      <c r="D48" s="62"/>
      <c r="E48" s="62"/>
      <c r="F48" s="62"/>
      <c r="G48" s="62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1"/>
    </row>
    <row r="49" spans="1:28">
      <c r="A49" s="62"/>
      <c r="B49" s="62"/>
      <c r="C49" s="62"/>
      <c r="D49" s="62"/>
      <c r="E49" s="62"/>
      <c r="F49" s="62"/>
      <c r="G49" s="62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1"/>
    </row>
    <row r="50" spans="1:28">
      <c r="A50" s="62"/>
      <c r="B50" s="62"/>
      <c r="C50" s="62"/>
      <c r="D50" s="62"/>
      <c r="E50" s="62"/>
      <c r="F50" s="62"/>
      <c r="G50" s="62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1"/>
    </row>
    <row r="51" spans="1:28">
      <c r="A51" s="62"/>
      <c r="B51" s="62"/>
      <c r="C51" s="62"/>
      <c r="D51" s="62"/>
      <c r="E51" s="62"/>
      <c r="F51" s="62"/>
      <c r="G51" s="62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1"/>
    </row>
    <row r="52" spans="1:28">
      <c r="A52" s="62"/>
      <c r="B52" s="62"/>
      <c r="C52" s="62"/>
      <c r="D52" s="62"/>
      <c r="E52" s="62"/>
      <c r="F52" s="62"/>
      <c r="G52" s="62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1"/>
    </row>
    <row r="53" spans="1:28">
      <c r="A53" s="62"/>
      <c r="B53" s="62"/>
      <c r="C53" s="62"/>
      <c r="D53" s="62"/>
      <c r="E53" s="62"/>
      <c r="F53" s="62"/>
      <c r="G53" s="62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1"/>
    </row>
    <row r="54" spans="1:28">
      <c r="A54" s="62"/>
      <c r="B54" s="62"/>
      <c r="C54" s="62"/>
      <c r="D54" s="62"/>
      <c r="E54" s="62"/>
      <c r="F54" s="62"/>
      <c r="G54" s="62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1"/>
    </row>
    <row r="55" spans="1:28">
      <c r="A55" s="62"/>
      <c r="B55" s="62"/>
      <c r="C55" s="62"/>
      <c r="D55" s="62"/>
      <c r="E55" s="62"/>
      <c r="F55" s="62"/>
      <c r="G55" s="62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1"/>
    </row>
    <row r="56" spans="1:28">
      <c r="A56" s="62"/>
      <c r="B56" s="62"/>
      <c r="C56" s="62"/>
      <c r="D56" s="62"/>
      <c r="E56" s="62"/>
      <c r="F56" s="62"/>
      <c r="G56" s="62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1"/>
    </row>
    <row r="57" spans="1:28">
      <c r="A57" s="62"/>
      <c r="B57" s="62"/>
      <c r="C57" s="62"/>
      <c r="D57" s="62"/>
      <c r="E57" s="62"/>
      <c r="F57" s="62"/>
      <c r="G57" s="62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1"/>
    </row>
    <row r="58" spans="1:28">
      <c r="A58" s="62"/>
      <c r="B58" s="62"/>
      <c r="C58" s="62"/>
      <c r="D58" s="62"/>
      <c r="E58" s="62"/>
      <c r="F58" s="62"/>
      <c r="G58" s="62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1"/>
      <c r="AA58" s="63"/>
      <c r="AB58" s="63"/>
    </row>
    <row r="59" spans="1:28">
      <c r="A59" s="62"/>
      <c r="B59" s="62"/>
      <c r="C59" s="62"/>
      <c r="D59" s="62"/>
      <c r="E59" s="62"/>
      <c r="F59" s="62"/>
      <c r="G59" s="62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1"/>
      <c r="AA59" s="63"/>
      <c r="AB59" s="63"/>
    </row>
    <row r="60" spans="1:28">
      <c r="A60" s="62"/>
      <c r="B60" s="62"/>
      <c r="C60" s="62"/>
      <c r="D60" s="62"/>
      <c r="E60" s="62"/>
      <c r="F60" s="62"/>
      <c r="G60" s="62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1"/>
      <c r="AA60" s="63"/>
      <c r="AB60" s="63"/>
    </row>
    <row r="61" spans="1:28">
      <c r="A61" s="62"/>
      <c r="B61" s="62"/>
      <c r="C61" s="62"/>
      <c r="D61" s="62"/>
      <c r="E61" s="62"/>
      <c r="F61" s="62"/>
      <c r="G61" s="62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1"/>
      <c r="AA61" s="63"/>
      <c r="AB61" s="63"/>
    </row>
    <row r="62" spans="1:28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3"/>
      <c r="AA62" s="63"/>
      <c r="AB62" s="63"/>
    </row>
    <row r="63" spans="1:28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</row>
    <row r="64" spans="1:28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</row>
    <row r="65" spans="1:28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</row>
    <row r="66" spans="1:28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</row>
  </sheetData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NH6">
                <anchor moveWithCells="1" sizeWithCells="1">
                  <from>
                    <xdr:col>6</xdr:col>
                    <xdr:colOff>38100</xdr:colOff>
                    <xdr:row>1</xdr:row>
                    <xdr:rowOff>101600</xdr:rowOff>
                  </from>
                  <to>
                    <xdr:col>8</xdr:col>
                    <xdr:colOff>0</xdr:colOff>
                    <xdr:row>5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NH7">
                <anchor moveWithCells="1" sizeWithCells="1">
                  <from>
                    <xdr:col>6</xdr:col>
                    <xdr:colOff>38100</xdr:colOff>
                    <xdr:row>6</xdr:row>
                    <xdr:rowOff>101600</xdr:rowOff>
                  </from>
                  <to>
                    <xdr:col>7</xdr:col>
                    <xdr:colOff>622300</xdr:colOff>
                    <xdr:row>10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INH9">
                <anchor moveWithCells="1" sizeWithCells="1">
                  <from>
                    <xdr:col>6</xdr:col>
                    <xdr:colOff>38100</xdr:colOff>
                    <xdr:row>21</xdr:row>
                    <xdr:rowOff>152400</xdr:rowOff>
                  </from>
                  <to>
                    <xdr:col>7</xdr:col>
                    <xdr:colOff>622300</xdr:colOff>
                    <xdr:row>25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NH10">
                <anchor moveWithCells="1" sizeWithCells="1">
                  <from>
                    <xdr:col>6</xdr:col>
                    <xdr:colOff>38100</xdr:colOff>
                    <xdr:row>26</xdr:row>
                    <xdr:rowOff>165100</xdr:rowOff>
                  </from>
                  <to>
                    <xdr:col>7</xdr:col>
                    <xdr:colOff>609600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Linh_7">
                <anchor moveWithCells="1" sizeWithCells="1">
                  <from>
                    <xdr:col>6</xdr:col>
                    <xdr:colOff>38100</xdr:colOff>
                    <xdr:row>11</xdr:row>
                    <xdr:rowOff>139700</xdr:rowOff>
                  </from>
                  <to>
                    <xdr:col>7</xdr:col>
                    <xdr:colOff>622300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Linh_8">
                <anchor moveWithCells="1" sizeWithCells="1">
                  <from>
                    <xdr:col>6</xdr:col>
                    <xdr:colOff>38100</xdr:colOff>
                    <xdr:row>16</xdr:row>
                    <xdr:rowOff>165100</xdr:rowOff>
                  </from>
                  <to>
                    <xdr:col>7</xdr:col>
                    <xdr:colOff>622300</xdr:colOff>
                    <xdr:row>20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2060"/>
  </sheetPr>
  <dimension ref="A1:P33"/>
  <sheetViews>
    <sheetView tabSelected="1" zoomScale="160" zoomScaleNormal="160" zoomScalePageLayoutView="160" workbookViewId="0">
      <selection activeCell="C2" sqref="C2:C3"/>
    </sheetView>
  </sheetViews>
  <sheetFormatPr baseColWidth="10" defaultColWidth="8.83203125" defaultRowHeight="14" x14ac:dyDescent="0"/>
  <cols>
    <col min="1" max="1" width="8.83203125" style="81"/>
    <col min="2" max="2" width="17.6640625" style="81" customWidth="1"/>
    <col min="3" max="3" width="16.83203125" style="81" customWidth="1"/>
    <col min="4" max="4" width="7" style="80" customWidth="1"/>
    <col min="5" max="5" width="19.1640625" style="81" customWidth="1"/>
    <col min="6" max="16384" width="8.83203125" style="81"/>
  </cols>
  <sheetData>
    <row r="1" spans="1:16" ht="30" customHeight="1">
      <c r="A1" s="79"/>
      <c r="B1" s="91" t="s">
        <v>12</v>
      </c>
      <c r="C1" s="92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6" ht="18.75" customHeight="1">
      <c r="A2" s="79"/>
      <c r="B2" s="82" t="s">
        <v>13</v>
      </c>
      <c r="C2" s="83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</row>
    <row r="3" spans="1:16" ht="18.75" customHeight="1">
      <c r="A3" s="79"/>
      <c r="B3" s="82" t="s">
        <v>14</v>
      </c>
      <c r="C3" s="84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</row>
    <row r="4" spans="1:16" ht="21.75" customHeight="1">
      <c r="A4" s="79"/>
      <c r="B4" s="82" t="s">
        <v>11</v>
      </c>
      <c r="C4" s="85" t="s">
        <v>1</v>
      </c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</row>
    <row r="5" spans="1:16" ht="20.25" customHeight="1">
      <c r="A5" s="79"/>
      <c r="B5" s="82" t="s">
        <v>58</v>
      </c>
      <c r="C5" s="86">
        <v>2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</row>
    <row r="6" spans="1:16" ht="14" customHeight="1">
      <c r="A6" s="79"/>
      <c r="B6" s="87"/>
      <c r="C6" s="88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</row>
    <row r="7" spans="1:16" ht="21.75" customHeight="1">
      <c r="A7" s="79"/>
      <c r="B7" s="89"/>
      <c r="C7" s="90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</row>
    <row r="8" spans="1:16" ht="14" customHeight="1">
      <c r="A8" s="79"/>
      <c r="B8" s="79"/>
      <c r="C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</row>
    <row r="9" spans="1:16" ht="14" customHeight="1">
      <c r="A9" s="79"/>
      <c r="B9" s="79"/>
      <c r="C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</row>
    <row r="10" spans="1:16" ht="14" customHeight="1">
      <c r="A10" s="79"/>
      <c r="B10" s="79"/>
      <c r="C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</row>
    <row r="11" spans="1:16" ht="14" customHeight="1">
      <c r="A11" s="79"/>
      <c r="B11" s="79"/>
      <c r="C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</row>
    <row r="12" spans="1:16" ht="14" customHeight="1">
      <c r="A12" s="79"/>
      <c r="B12" s="79"/>
      <c r="C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</row>
    <row r="13" spans="1:16" ht="14" customHeight="1">
      <c r="A13" s="79"/>
      <c r="B13" s="79"/>
      <c r="C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</row>
    <row r="14" spans="1:16" ht="14" customHeight="1">
      <c r="A14" s="79"/>
      <c r="B14" s="79"/>
      <c r="C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</row>
    <row r="15" spans="1:16" ht="14" customHeight="1">
      <c r="A15" s="79"/>
      <c r="B15" s="79"/>
      <c r="C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</row>
    <row r="16" spans="1:16" ht="14" customHeight="1">
      <c r="A16" s="79"/>
      <c r="B16" s="79"/>
      <c r="C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</row>
    <row r="17" spans="1:16" ht="14" customHeight="1">
      <c r="A17" s="79"/>
      <c r="B17" s="79"/>
      <c r="C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</row>
    <row r="18" spans="1:16" ht="14" customHeight="1">
      <c r="A18" s="79"/>
      <c r="B18" s="79"/>
      <c r="C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</row>
    <row r="19" spans="1:16" ht="14" customHeight="1">
      <c r="A19" s="79"/>
      <c r="B19" s="79"/>
      <c r="C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</row>
    <row r="20" spans="1:16" ht="14" customHeight="1">
      <c r="A20" s="79"/>
      <c r="B20" s="79"/>
      <c r="C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</row>
    <row r="21" spans="1:16" ht="14" customHeight="1">
      <c r="A21" s="79"/>
      <c r="B21" s="79"/>
      <c r="C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</row>
    <row r="22" spans="1:16" ht="14" customHeight="1">
      <c r="A22" s="79"/>
      <c r="B22" s="79"/>
      <c r="C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</row>
    <row r="23" spans="1:16" ht="14" customHeight="1">
      <c r="A23" s="79"/>
      <c r="B23" s="79"/>
      <c r="C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</row>
    <row r="24" spans="1:16" ht="14" customHeight="1">
      <c r="A24" s="79"/>
      <c r="B24" s="79"/>
      <c r="C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</row>
    <row r="25" spans="1:16" ht="14" customHeight="1">
      <c r="A25" s="79"/>
      <c r="B25" s="79"/>
      <c r="C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</row>
    <row r="26" spans="1:16" ht="14" customHeight="1">
      <c r="A26" s="79"/>
      <c r="B26" s="79"/>
      <c r="C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</row>
    <row r="27" spans="1:16" ht="14" customHeight="1">
      <c r="A27" s="79"/>
      <c r="B27" s="79"/>
      <c r="C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</row>
    <row r="28" spans="1:16" ht="14" customHeight="1">
      <c r="A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</row>
    <row r="29" spans="1:16">
      <c r="A29" s="79"/>
    </row>
    <row r="30" spans="1:16">
      <c r="A30" s="79"/>
    </row>
    <row r="31" spans="1:16">
      <c r="A31" s="79"/>
    </row>
    <row r="32" spans="1:16">
      <c r="A32" s="79"/>
    </row>
    <row r="33" spans="1:1">
      <c r="A33" s="79"/>
    </row>
  </sheetData>
  <dataValidations count="2">
    <dataValidation type="list" allowBlank="1" showInputMessage="1" showErrorMessage="1" sqref="C4">
      <formula1>frequency</formula1>
    </dataValidation>
    <dataValidation type="list" allowBlank="1" showInputMessage="1" showErrorMessage="1" sqref="C5">
      <formula1>INDIRECT($C4)</formula1>
    </dataValidation>
  </dataValidations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LINH12">
                <anchor moveWithCells="1" sizeWithCells="1">
                  <from>
                    <xdr:col>4</xdr:col>
                    <xdr:colOff>12700</xdr:colOff>
                    <xdr:row>1</xdr:row>
                    <xdr:rowOff>25400</xdr:rowOff>
                  </from>
                  <to>
                    <xdr:col>4</xdr:col>
                    <xdr:colOff>1447800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FV_result">
                <anchor moveWithCells="1" sizeWithCells="1">
                  <from>
                    <xdr:col>0</xdr:col>
                    <xdr:colOff>596900</xdr:colOff>
                    <xdr:row>6</xdr:row>
                    <xdr:rowOff>12700</xdr:rowOff>
                  </from>
                  <to>
                    <xdr:col>1</xdr:col>
                    <xdr:colOff>1168400</xdr:colOff>
                    <xdr:row>7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LINH15">
                <anchor moveWithCells="1" sizeWithCells="1">
                  <from>
                    <xdr:col>4</xdr:col>
                    <xdr:colOff>25400</xdr:colOff>
                    <xdr:row>4</xdr:row>
                    <xdr:rowOff>0</xdr:rowOff>
                  </from>
                  <to>
                    <xdr:col>4</xdr:col>
                    <xdr:colOff>1447800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Pict="0" macro="[0]!FV_resultclear">
                <anchor moveWithCells="1" sizeWithCells="1">
                  <from>
                    <xdr:col>4</xdr:col>
                    <xdr:colOff>25400</xdr:colOff>
                    <xdr:row>6</xdr:row>
                    <xdr:rowOff>266700</xdr:rowOff>
                  </from>
                  <to>
                    <xdr:col>4</xdr:col>
                    <xdr:colOff>1447800</xdr:colOff>
                    <xdr:row>9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2060"/>
  </sheetPr>
  <dimension ref="A1:T29"/>
  <sheetViews>
    <sheetView zoomScale="125" zoomScaleNormal="125" zoomScalePageLayoutView="125" workbookViewId="0">
      <selection activeCell="C21" sqref="C21"/>
    </sheetView>
  </sheetViews>
  <sheetFormatPr baseColWidth="10" defaultColWidth="8.83203125" defaultRowHeight="14" x14ac:dyDescent="0"/>
  <cols>
    <col min="1" max="1" width="12.33203125" style="81" customWidth="1"/>
    <col min="2" max="2" width="18.83203125" style="81" customWidth="1"/>
    <col min="3" max="3" width="16" style="81" customWidth="1"/>
    <col min="4" max="4" width="20" style="81" customWidth="1"/>
    <col min="5" max="5" width="7.83203125" style="81" customWidth="1"/>
    <col min="6" max="9" width="8.83203125" style="81"/>
    <col min="10" max="10" width="9.1640625" style="81" customWidth="1"/>
    <col min="11" max="13" width="9.83203125" style="81" bestFit="1" customWidth="1"/>
    <col min="14" max="14" width="12.5" style="81" customWidth="1"/>
    <col min="15" max="18" width="9.83203125" style="81" bestFit="1" customWidth="1"/>
    <col min="19" max="16384" width="8.83203125" style="81"/>
  </cols>
  <sheetData>
    <row r="1" spans="1:20">
      <c r="A1" s="93"/>
      <c r="B1" s="109" t="s">
        <v>57</v>
      </c>
      <c r="C1" s="109"/>
      <c r="D1" s="109"/>
    </row>
    <row r="2" spans="1:20" ht="20.25" customHeight="1">
      <c r="A2" s="94"/>
      <c r="B2" s="109"/>
      <c r="C2" s="109"/>
      <c r="D2" s="109"/>
      <c r="J2" s="95"/>
      <c r="K2" s="96"/>
      <c r="L2" s="96"/>
      <c r="M2" s="96"/>
      <c r="N2" s="96"/>
      <c r="O2" s="96"/>
      <c r="P2" s="96"/>
      <c r="Q2" s="96"/>
      <c r="R2" s="96"/>
      <c r="S2" s="97"/>
      <c r="T2" s="98"/>
    </row>
    <row r="3" spans="1:20" ht="18.75" customHeight="1">
      <c r="A3" s="94"/>
      <c r="B3" s="99" t="s">
        <v>55</v>
      </c>
      <c r="C3" s="99"/>
      <c r="D3" s="100">
        <v>21</v>
      </c>
      <c r="E3" s="101"/>
      <c r="J3" s="96"/>
      <c r="K3" s="102"/>
      <c r="L3" s="102"/>
      <c r="M3" s="102"/>
      <c r="N3" s="102"/>
      <c r="O3" s="102"/>
      <c r="P3" s="102"/>
      <c r="Q3" s="102"/>
      <c r="R3" s="102"/>
      <c r="S3" s="98"/>
      <c r="T3" s="98"/>
    </row>
    <row r="4" spans="1:20" ht="19">
      <c r="A4" s="94"/>
      <c r="B4" s="99"/>
      <c r="C4" s="99"/>
      <c r="D4" s="100"/>
      <c r="E4" s="101"/>
      <c r="J4" s="96"/>
      <c r="K4" s="102"/>
      <c r="L4" s="102"/>
      <c r="M4" s="102"/>
      <c r="N4" s="102"/>
      <c r="O4" s="102"/>
      <c r="P4" s="102"/>
      <c r="Q4" s="102"/>
      <c r="R4" s="102"/>
      <c r="S4" s="98"/>
      <c r="T4" s="98"/>
    </row>
    <row r="5" spans="1:20" ht="19">
      <c r="A5" s="94"/>
      <c r="B5" s="99" t="s">
        <v>52</v>
      </c>
      <c r="C5" s="99"/>
      <c r="D5" s="103"/>
      <c r="E5" s="101"/>
      <c r="J5" s="96"/>
      <c r="K5" s="102"/>
      <c r="L5" s="102"/>
      <c r="M5" s="102"/>
      <c r="N5" s="102"/>
      <c r="O5" s="102"/>
      <c r="P5" s="102"/>
      <c r="Q5" s="102"/>
      <c r="R5" s="102"/>
      <c r="S5" s="98"/>
      <c r="T5" s="98"/>
    </row>
    <row r="6" spans="1:20" ht="19">
      <c r="A6" s="94"/>
      <c r="B6" s="99" t="s">
        <v>53</v>
      </c>
      <c r="C6" s="99"/>
      <c r="D6" s="103"/>
      <c r="E6" s="101"/>
      <c r="J6" s="96"/>
      <c r="K6" s="102"/>
      <c r="L6" s="102"/>
      <c r="M6" s="102"/>
      <c r="N6" s="102"/>
      <c r="O6" s="102"/>
      <c r="P6" s="102"/>
      <c r="Q6" s="102"/>
      <c r="R6" s="102"/>
      <c r="S6" s="98"/>
      <c r="T6" s="98"/>
    </row>
    <row r="7" spans="1:20" ht="19">
      <c r="A7" s="94"/>
      <c r="B7" s="99" t="s">
        <v>11</v>
      </c>
      <c r="C7" s="99"/>
      <c r="D7" s="104"/>
      <c r="E7" s="101"/>
      <c r="J7" s="96"/>
      <c r="K7" s="102"/>
      <c r="L7" s="102"/>
      <c r="M7" s="102"/>
      <c r="N7" s="102"/>
      <c r="O7" s="102"/>
      <c r="P7" s="102"/>
      <c r="Q7" s="102"/>
      <c r="R7" s="102"/>
      <c r="S7" s="98"/>
      <c r="T7" s="98"/>
    </row>
    <row r="8" spans="1:20" ht="19">
      <c r="A8" s="94"/>
      <c r="B8" s="99"/>
      <c r="C8" s="99"/>
      <c r="D8" s="104"/>
      <c r="E8" s="101"/>
      <c r="J8" s="96"/>
      <c r="K8" s="102"/>
      <c r="L8" s="102"/>
      <c r="M8" s="102"/>
      <c r="N8" s="102"/>
      <c r="O8" s="102"/>
      <c r="P8" s="102"/>
      <c r="Q8" s="102"/>
      <c r="R8" s="102"/>
      <c r="S8" s="98"/>
      <c r="T8" s="98"/>
    </row>
    <row r="9" spans="1:20" ht="26.25" customHeight="1">
      <c r="A9" s="94"/>
      <c r="B9" s="99" t="s">
        <v>56</v>
      </c>
      <c r="C9" s="99"/>
      <c r="D9" s="104"/>
      <c r="E9" s="101"/>
    </row>
    <row r="10" spans="1:20" ht="21.75" customHeight="1">
      <c r="A10" s="94"/>
      <c r="B10" s="105" t="s">
        <v>60</v>
      </c>
      <c r="C10" s="105"/>
      <c r="D10" s="106"/>
    </row>
    <row r="11" spans="1:20">
      <c r="A11" s="94"/>
      <c r="B11" s="107"/>
      <c r="C11" s="107"/>
      <c r="D11" s="107"/>
    </row>
    <row r="12" spans="1:20">
      <c r="A12" s="94"/>
      <c r="G12" s="108"/>
    </row>
    <row r="13" spans="1:20">
      <c r="A13" s="94"/>
      <c r="E13" s="108"/>
    </row>
    <row r="14" spans="1:20">
      <c r="A14" s="94"/>
    </row>
    <row r="15" spans="1:20">
      <c r="A15" s="94"/>
    </row>
    <row r="16" spans="1:20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  <row r="28" spans="1:1">
      <c r="A28" s="94"/>
    </row>
    <row r="29" spans="1:1">
      <c r="A29" s="94"/>
    </row>
  </sheetData>
  <mergeCells count="10">
    <mergeCell ref="B10:C10"/>
    <mergeCell ref="B4:C4"/>
    <mergeCell ref="B8:C8"/>
    <mergeCell ref="A1:A29"/>
    <mergeCell ref="B9:C9"/>
    <mergeCell ref="B1:D2"/>
    <mergeCell ref="B3:C3"/>
    <mergeCell ref="B5:C5"/>
    <mergeCell ref="B6:C6"/>
    <mergeCell ref="B7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Scroll Bar 4">
              <controlPr defaultSize="0" autoPict="0">
                <anchor moveWithCells="1">
                  <from>
                    <xdr:col>2</xdr:col>
                    <xdr:colOff>1054100</xdr:colOff>
                    <xdr:row>7</xdr:row>
                    <xdr:rowOff>12700</xdr:rowOff>
                  </from>
                  <to>
                    <xdr:col>3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6" r:id="rId4" name="Scroll Bar 6">
              <controlPr defaultSize="0" autoPict="0">
                <anchor moveWithCells="1">
                  <from>
                    <xdr:col>2</xdr:col>
                    <xdr:colOff>1054100</xdr:colOff>
                    <xdr:row>2</xdr:row>
                    <xdr:rowOff>215900</xdr:rowOff>
                  </from>
                  <to>
                    <xdr:col>3</xdr:col>
                    <xdr:colOff>1473200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9" r:id="rId5" name="Button 9">
              <controlPr defaultSize="0" print="0" autoFill="0" autoPict="0" macro="[0]!Macro2">
                <anchor moveWithCells="1" sizeWithCells="1">
                  <from>
                    <xdr:col>4</xdr:col>
                    <xdr:colOff>571500</xdr:colOff>
                    <xdr:row>7</xdr:row>
                    <xdr:rowOff>101600</xdr:rowOff>
                  </from>
                  <to>
                    <xdr:col>8</xdr:col>
                    <xdr:colOff>12700</xdr:colOff>
                    <xdr:row>9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" r:id="rId6" name="Button 10">
              <controlPr defaultSize="0" print="0" autoFill="0" autoPict="0" macro="[0]!LINH3">
                <anchor moveWithCells="1" sizeWithCells="1">
                  <from>
                    <xdr:col>4</xdr:col>
                    <xdr:colOff>584200</xdr:colOff>
                    <xdr:row>4</xdr:row>
                    <xdr:rowOff>38100</xdr:rowOff>
                  </from>
                  <to>
                    <xdr:col>8</xdr:col>
                    <xdr:colOff>12700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LINH4">
                <anchor moveWithCells="1" sizeWithCells="1">
                  <from>
                    <xdr:col>4</xdr:col>
                    <xdr:colOff>596900</xdr:colOff>
                    <xdr:row>0</xdr:row>
                    <xdr:rowOff>139700</xdr:rowOff>
                  </from>
                  <to>
                    <xdr:col>8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2" r:id="rId8" name="Button 12">
              <controlPr defaultSize="0" print="0" autoFill="0" autoPict="0" macro="[0]!Linh_3">
                <anchor moveWithCells="1" sizeWithCells="1">
                  <from>
                    <xdr:col>5</xdr:col>
                    <xdr:colOff>0</xdr:colOff>
                    <xdr:row>10</xdr:row>
                    <xdr:rowOff>50800</xdr:rowOff>
                  </from>
                  <to>
                    <xdr:col>8</xdr:col>
                    <xdr:colOff>12700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theme="4" tint="-0.499984740745262"/>
  </sheetPr>
  <dimension ref="A1:E33"/>
  <sheetViews>
    <sheetView zoomScale="200" zoomScaleNormal="200" zoomScalePageLayoutView="200" workbookViewId="0">
      <selection activeCell="B18" sqref="B18"/>
    </sheetView>
  </sheetViews>
  <sheetFormatPr baseColWidth="10" defaultColWidth="8.83203125" defaultRowHeight="14" x14ac:dyDescent="0"/>
  <cols>
    <col min="1" max="1" width="19.5" style="81" customWidth="1"/>
    <col min="2" max="2" width="27" style="81" customWidth="1"/>
    <col min="3" max="16384" width="8.83203125" style="81"/>
  </cols>
  <sheetData>
    <row r="1" spans="1:5" ht="15" thickBot="1">
      <c r="A1" s="112" t="s">
        <v>67</v>
      </c>
      <c r="B1" s="113"/>
    </row>
    <row r="2" spans="1:5">
      <c r="A2" s="114"/>
      <c r="B2" s="114"/>
    </row>
    <row r="3" spans="1:5">
      <c r="A3" s="115" t="s">
        <v>68</v>
      </c>
      <c r="B3" s="116"/>
    </row>
    <row r="4" spans="1:5" ht="15" thickBot="1">
      <c r="A4" s="114"/>
      <c r="B4" s="114"/>
    </row>
    <row r="5" spans="1:5" ht="15" thickBot="1">
      <c r="A5" s="112" t="s">
        <v>69</v>
      </c>
      <c r="B5" s="113"/>
    </row>
    <row r="6" spans="1:5">
      <c r="D6" s="108"/>
    </row>
    <row r="7" spans="1:5">
      <c r="A7" s="81" t="s">
        <v>70</v>
      </c>
      <c r="B7" s="110"/>
    </row>
    <row r="9" spans="1:5">
      <c r="A9" s="81" t="s">
        <v>71</v>
      </c>
      <c r="B9" s="110"/>
    </row>
    <row r="11" spans="1:5">
      <c r="A11" s="81" t="s">
        <v>72</v>
      </c>
      <c r="B11" s="111">
        <f>((1+B7)/(1+B9))-1</f>
        <v>0</v>
      </c>
    </row>
    <row r="12" spans="1:5" ht="15" thickBot="1"/>
    <row r="13" spans="1:5" ht="15" thickBot="1">
      <c r="A13" s="112" t="s">
        <v>73</v>
      </c>
      <c r="B13" s="113"/>
      <c r="E13" s="108"/>
    </row>
    <row r="15" spans="1:5">
      <c r="A15" s="81" t="s">
        <v>74</v>
      </c>
    </row>
    <row r="17" spans="1:1">
      <c r="A17" s="81" t="s">
        <v>75</v>
      </c>
    </row>
    <row r="18" spans="1:1">
      <c r="A18" s="98"/>
    </row>
    <row r="19" spans="1:1">
      <c r="A19" s="81" t="s">
        <v>76</v>
      </c>
    </row>
    <row r="21" spans="1:1">
      <c r="A21" s="81" t="s">
        <v>83</v>
      </c>
    </row>
    <row r="23" spans="1:1">
      <c r="A23" s="81" t="s">
        <v>77</v>
      </c>
    </row>
    <row r="25" spans="1:1">
      <c r="A25" s="81" t="s">
        <v>78</v>
      </c>
    </row>
    <row r="27" spans="1:1">
      <c r="A27" s="81" t="s">
        <v>79</v>
      </c>
    </row>
    <row r="29" spans="1:1">
      <c r="A29" s="81" t="s">
        <v>80</v>
      </c>
    </row>
    <row r="31" spans="1:1">
      <c r="A31" s="81" t="s">
        <v>81</v>
      </c>
    </row>
    <row r="33" spans="1:1">
      <c r="A33" s="81" t="s">
        <v>82</v>
      </c>
    </row>
  </sheetData>
  <mergeCells count="3">
    <mergeCell ref="A1:B1"/>
    <mergeCell ref="A5:B5"/>
    <mergeCell ref="A13:B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hao33">
                <anchor moveWithCells="1" sizeWithCells="1">
                  <from>
                    <xdr:col>1</xdr:col>
                    <xdr:colOff>2057400</xdr:colOff>
                    <xdr:row>2</xdr:row>
                    <xdr:rowOff>12700</xdr:rowOff>
                  </from>
                  <to>
                    <xdr:col>4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Chao22">
                <anchor moveWithCells="1" sizeWithCells="1">
                  <from>
                    <xdr:col>2</xdr:col>
                    <xdr:colOff>0</xdr:colOff>
                    <xdr:row>5</xdr:row>
                    <xdr:rowOff>12700</xdr:rowOff>
                  </from>
                  <to>
                    <xdr:col>3</xdr:col>
                    <xdr:colOff>673100</xdr:colOff>
                    <xdr:row>7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Chao555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485" r:id="rId6" name="Button 5">
              <controlPr defaultSize="0" print="0" autoFill="0" autoPict="0" macro="[0]!Linh_9">
                <anchor moveWithCells="1" sizeWithCells="1">
                  <from>
                    <xdr:col>2</xdr:col>
                    <xdr:colOff>0</xdr:colOff>
                    <xdr:row>11</xdr:row>
                    <xdr:rowOff>12700</xdr:rowOff>
                  </from>
                  <to>
                    <xdr:col>4</xdr:col>
                    <xdr:colOff>12700</xdr:colOff>
                    <xdr:row>13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2060"/>
  </sheetPr>
  <dimension ref="A1:I18"/>
  <sheetViews>
    <sheetView zoomScale="150" zoomScaleNormal="150" zoomScalePageLayoutView="150" workbookViewId="0">
      <selection activeCell="D24" sqref="D24"/>
    </sheetView>
  </sheetViews>
  <sheetFormatPr baseColWidth="10" defaultColWidth="10.6640625" defaultRowHeight="14" x14ac:dyDescent="0"/>
  <cols>
    <col min="1" max="1" width="14.33203125" customWidth="1"/>
    <col min="3" max="3" width="11.33203125" bestFit="1" customWidth="1"/>
  </cols>
  <sheetData>
    <row r="1" spans="1:9">
      <c r="A1" s="74" t="s">
        <v>62</v>
      </c>
      <c r="B1" s="74"/>
      <c r="C1" s="74"/>
      <c r="D1" s="74"/>
      <c r="E1" s="74"/>
      <c r="F1" s="74"/>
    </row>
    <row r="2" spans="1:9">
      <c r="A2" s="74"/>
      <c r="B2" s="74"/>
      <c r="C2" s="74"/>
      <c r="D2" s="74"/>
      <c r="E2" s="74"/>
      <c r="F2" s="74"/>
    </row>
    <row r="5" spans="1:9">
      <c r="A5" s="71" t="s">
        <v>63</v>
      </c>
      <c r="B5" s="71"/>
      <c r="C5" s="71">
        <v>300</v>
      </c>
    </row>
    <row r="6" spans="1:9">
      <c r="A6" s="71" t="s">
        <v>64</v>
      </c>
      <c r="B6" s="71"/>
      <c r="C6" s="69">
        <v>0.1</v>
      </c>
    </row>
    <row r="7" spans="1:9">
      <c r="A7" s="71" t="s">
        <v>65</v>
      </c>
      <c r="B7" s="71"/>
      <c r="C7" s="69">
        <v>0.05</v>
      </c>
    </row>
    <row r="9" spans="1:9">
      <c r="A9" s="71" t="s">
        <v>66</v>
      </c>
      <c r="B9" s="71"/>
      <c r="C9" s="72"/>
    </row>
    <row r="12" spans="1:9">
      <c r="A12" s="70">
        <f>C9</f>
        <v>0</v>
      </c>
      <c r="B12" s="69">
        <v>0.08</v>
      </c>
      <c r="C12" s="69">
        <v>0.09</v>
      </c>
      <c r="D12" s="69">
        <v>0.1</v>
      </c>
      <c r="E12" s="69">
        <v>0.11</v>
      </c>
      <c r="F12" s="69">
        <v>0.12</v>
      </c>
      <c r="G12" s="69">
        <v>0.13</v>
      </c>
      <c r="H12" s="69">
        <v>0.14000000000000001</v>
      </c>
      <c r="I12" s="69">
        <v>0.15</v>
      </c>
    </row>
    <row r="13" spans="1:9">
      <c r="A13" s="69">
        <v>0</v>
      </c>
      <c r="B13" s="68">
        <f t="dataTable" ref="B13:I18" dt2D="1" dtr="1" r1="C6" r2="C7"/>
        <v>0</v>
      </c>
      <c r="C13" s="68">
        <v>0</v>
      </c>
      <c r="D13" s="68">
        <v>0</v>
      </c>
      <c r="E13" s="68">
        <v>0</v>
      </c>
      <c r="F13" s="68">
        <v>0</v>
      </c>
      <c r="G13" s="68">
        <v>0</v>
      </c>
      <c r="H13" s="68">
        <v>0</v>
      </c>
      <c r="I13" s="68">
        <v>0</v>
      </c>
    </row>
    <row r="14" spans="1:9">
      <c r="A14" s="69">
        <v>0.01</v>
      </c>
      <c r="B14" s="68">
        <v>0</v>
      </c>
      <c r="C14" s="68">
        <v>0</v>
      </c>
      <c r="D14" s="68">
        <v>0</v>
      </c>
      <c r="E14" s="68">
        <v>0</v>
      </c>
      <c r="F14" s="68">
        <v>0</v>
      </c>
      <c r="G14" s="68">
        <v>0</v>
      </c>
      <c r="H14" s="68">
        <v>0</v>
      </c>
      <c r="I14" s="68">
        <v>0</v>
      </c>
    </row>
    <row r="15" spans="1:9">
      <c r="A15" s="69">
        <v>0.02</v>
      </c>
      <c r="B15" s="68">
        <v>0</v>
      </c>
      <c r="C15" s="68">
        <v>0</v>
      </c>
      <c r="D15" s="68">
        <v>0</v>
      </c>
      <c r="E15" s="68">
        <v>0</v>
      </c>
      <c r="F15" s="68">
        <v>0</v>
      </c>
      <c r="G15" s="68">
        <v>0</v>
      </c>
      <c r="H15" s="68">
        <v>0</v>
      </c>
      <c r="I15" s="68">
        <v>0</v>
      </c>
    </row>
    <row r="16" spans="1:9">
      <c r="A16" s="69">
        <v>0.03</v>
      </c>
      <c r="B16" s="68">
        <v>0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</row>
    <row r="17" spans="1:9">
      <c r="A17" s="69">
        <v>0.04</v>
      </c>
      <c r="B17" s="68">
        <v>0</v>
      </c>
      <c r="C17" s="68">
        <v>0</v>
      </c>
      <c r="D17" s="68">
        <v>0</v>
      </c>
      <c r="E17" s="68">
        <v>0</v>
      </c>
      <c r="F17" s="68">
        <v>0</v>
      </c>
      <c r="G17" s="68">
        <v>0</v>
      </c>
      <c r="H17" s="68">
        <v>0</v>
      </c>
      <c r="I17" s="68">
        <v>0</v>
      </c>
    </row>
    <row r="18" spans="1:9">
      <c r="A18" s="69">
        <v>0.05</v>
      </c>
      <c r="B18" s="68">
        <v>0</v>
      </c>
      <c r="C18" s="68">
        <v>0</v>
      </c>
      <c r="D18" s="68">
        <v>0</v>
      </c>
      <c r="E18" s="68">
        <v>0</v>
      </c>
      <c r="F18" s="68">
        <v>0</v>
      </c>
      <c r="G18" s="68">
        <v>0</v>
      </c>
      <c r="H18" s="68">
        <v>0</v>
      </c>
      <c r="I18" s="68">
        <v>0</v>
      </c>
    </row>
  </sheetData>
  <mergeCells count="1">
    <mergeCell ref="A1:F2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Linh_4">
                <anchor moveWithCells="1" sizeWithCells="1">
                  <from>
                    <xdr:col>3</xdr:col>
                    <xdr:colOff>12700</xdr:colOff>
                    <xdr:row>8</xdr:row>
                    <xdr:rowOff>0</xdr:rowOff>
                  </from>
                  <to>
                    <xdr:col>3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Linh_5">
                <anchor moveWithCells="1" sizeWithCells="1">
                  <from>
                    <xdr:col>3</xdr:col>
                    <xdr:colOff>0</xdr:colOff>
                    <xdr:row>9</xdr:row>
                    <xdr:rowOff>38100</xdr:rowOff>
                  </from>
                  <to>
                    <xdr:col>3</xdr:col>
                    <xdr:colOff>762000</xdr:colOff>
                    <xdr:row>10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inh23">
                <anchor moveWithCells="1" sizeWithCells="1">
                  <from>
                    <xdr:col>4</xdr:col>
                    <xdr:colOff>800100</xdr:colOff>
                    <xdr:row>8</xdr:row>
                    <xdr:rowOff>12700</xdr:rowOff>
                  </from>
                  <to>
                    <xdr:col>6</xdr:col>
                    <xdr:colOff>419100</xdr:colOff>
                    <xdr:row>10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2060"/>
  </sheetPr>
  <dimension ref="A1:AP85"/>
  <sheetViews>
    <sheetView zoomScale="125" zoomScaleNormal="125" zoomScalePageLayoutView="125" workbookViewId="0">
      <selection activeCell="F13" sqref="F13"/>
    </sheetView>
  </sheetViews>
  <sheetFormatPr baseColWidth="10" defaultColWidth="8.83203125" defaultRowHeight="14" x14ac:dyDescent="0"/>
  <cols>
    <col min="2" max="2" width="41.1640625" customWidth="1"/>
    <col min="3" max="3" width="24.1640625" customWidth="1"/>
    <col min="4" max="4" width="9" customWidth="1"/>
    <col min="6" max="6" width="18.6640625" customWidth="1"/>
  </cols>
  <sheetData>
    <row r="1" spans="1:4" ht="45.75" customHeight="1">
      <c r="A1" s="75" t="s">
        <v>15</v>
      </c>
      <c r="B1" s="75"/>
      <c r="C1" s="75"/>
      <c r="D1" s="75"/>
    </row>
    <row r="2" spans="1:4" s="33" customFormat="1"/>
    <row r="3" spans="1:4" s="33" customFormat="1"/>
    <row r="4" spans="1:4" ht="18.75" customHeight="1">
      <c r="A4" s="33"/>
      <c r="B4" s="40" t="s">
        <v>16</v>
      </c>
      <c r="C4" s="34">
        <v>42946</v>
      </c>
    </row>
    <row r="5" spans="1:4" ht="18.75" customHeight="1">
      <c r="A5" s="33"/>
      <c r="B5" s="40" t="s">
        <v>17</v>
      </c>
      <c r="C5" s="35">
        <v>28</v>
      </c>
    </row>
    <row r="6" spans="1:4" ht="18.75" customHeight="1">
      <c r="A6" s="33"/>
      <c r="B6" s="40" t="s">
        <v>18</v>
      </c>
      <c r="C6" s="35">
        <v>70</v>
      </c>
    </row>
    <row r="7" spans="1:4" ht="18">
      <c r="A7" s="33"/>
      <c r="B7" s="40" t="s">
        <v>24</v>
      </c>
      <c r="C7" s="66">
        <f>Retirement_Age-Current_age</f>
        <v>42</v>
      </c>
    </row>
    <row r="8" spans="1:4" ht="18.75" customHeight="1">
      <c r="A8" s="33"/>
      <c r="B8" s="40" t="s">
        <v>19</v>
      </c>
      <c r="C8" s="44">
        <v>60000</v>
      </c>
    </row>
    <row r="9" spans="1:4" ht="18.75" customHeight="1">
      <c r="A9" s="33"/>
      <c r="B9" s="40" t="s">
        <v>20</v>
      </c>
      <c r="C9" s="36">
        <v>0.03</v>
      </c>
    </row>
    <row r="10" spans="1:4" ht="18.75" customHeight="1">
      <c r="A10" s="33"/>
      <c r="B10" s="41" t="s">
        <v>21</v>
      </c>
      <c r="C10" s="37">
        <f>VLOOKUP(Annual_emloyee_conribuiton,contribution,2,TRUE)</f>
        <v>2.5000000000000001E-2</v>
      </c>
    </row>
    <row r="11" spans="1:4" ht="18.75" customHeight="1">
      <c r="A11" s="33"/>
      <c r="B11" s="40" t="s">
        <v>23</v>
      </c>
      <c r="C11" s="36">
        <v>0.08</v>
      </c>
    </row>
    <row r="12" spans="1:4" ht="26.25" customHeight="1">
      <c r="A12" s="33"/>
      <c r="B12" s="76" t="s">
        <v>25</v>
      </c>
      <c r="C12" s="76"/>
    </row>
    <row r="13" spans="1:4" ht="18.75" customHeight="1">
      <c r="A13" s="33"/>
      <c r="B13" s="40" t="s">
        <v>26</v>
      </c>
      <c r="C13" s="38">
        <f>Annual_emloyee_conribuiton*Annual_Salary/12</f>
        <v>150</v>
      </c>
    </row>
    <row r="14" spans="1:4" ht="18.75" customHeight="1">
      <c r="A14" s="33"/>
      <c r="B14" s="40" t="s">
        <v>27</v>
      </c>
      <c r="C14" s="38">
        <f>IF(Annual_emloyee_conribuiton&lt;Annual_employer_contribution,Annual_emloyee_conribuiton*Annual_Salary/12,Annual_employer_contribution*Annual_Salary/12)</f>
        <v>125</v>
      </c>
    </row>
    <row r="15" spans="1:4" ht="18">
      <c r="A15" s="33"/>
      <c r="B15" s="40" t="s">
        <v>28</v>
      </c>
      <c r="C15" s="39">
        <f>SUM(C13:C14)</f>
        <v>275</v>
      </c>
    </row>
    <row r="16" spans="1:4" ht="28" customHeight="1">
      <c r="A16" s="33"/>
      <c r="B16" s="67" t="s">
        <v>61</v>
      </c>
      <c r="C16" s="64"/>
    </row>
    <row r="17" spans="1:4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42">
      <c r="A18" s="33"/>
      <c r="B18" s="33"/>
      <c r="C18" s="4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</row>
    <row r="19" spans="1:42">
      <c r="A19" s="33"/>
      <c r="B19" s="4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</row>
    <row r="20" spans="1:42">
      <c r="A20" s="33"/>
      <c r="B20" s="33"/>
      <c r="C20" s="33"/>
      <c r="D20" s="33"/>
      <c r="E20" s="33"/>
      <c r="F20" s="65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</row>
    <row r="21" spans="1:42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</row>
    <row r="23" spans="1:4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</row>
    <row r="24" spans="1:42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</row>
    <row r="25" spans="1:42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</row>
    <row r="26" spans="1:42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</row>
    <row r="27" spans="1:42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</row>
    <row r="28" spans="1:42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</row>
    <row r="29" spans="1:4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</row>
    <row r="30" spans="1:42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</row>
    <row r="31" spans="1:42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</row>
    <row r="32" spans="1:42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</row>
    <row r="33" spans="1:42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</row>
    <row r="34" spans="1:42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</row>
    <row r="35" spans="1:42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</row>
    <row r="36" spans="1:42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</row>
    <row r="37" spans="1:42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</row>
    <row r="38" spans="1:42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</row>
    <row r="39" spans="1:42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</row>
    <row r="40" spans="1:42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</row>
    <row r="41" spans="1:42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</row>
    <row r="42" spans="1:42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</row>
    <row r="43" spans="1:42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</row>
    <row r="44" spans="1:42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</row>
    <row r="45" spans="1:42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</row>
    <row r="46" spans="1:42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</row>
    <row r="47" spans="1:42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</row>
    <row r="48" spans="1:42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</row>
    <row r="49" spans="1:42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</row>
    <row r="50" spans="1:42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</row>
    <row r="51" spans="1:42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</row>
    <row r="52" spans="1:42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</row>
    <row r="53" spans="1:42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</row>
    <row r="54" spans="1:42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</row>
    <row r="55" spans="1:42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</row>
    <row r="56" spans="1:42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</row>
    <row r="57" spans="1:42"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</row>
    <row r="58" spans="1:42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</row>
    <row r="59" spans="1:42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</row>
    <row r="60" spans="1:42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</row>
    <row r="61" spans="1:42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</row>
    <row r="62" spans="1:42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</row>
    <row r="63" spans="1:42"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</row>
    <row r="64" spans="1:42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</row>
    <row r="65" spans="2:42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</row>
    <row r="66" spans="2:42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</row>
    <row r="67" spans="2:42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</row>
    <row r="68" spans="2:42"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</row>
    <row r="69" spans="2:42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</row>
    <row r="70" spans="2:42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</row>
    <row r="71" spans="2:42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</row>
    <row r="72" spans="2:42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</row>
    <row r="73" spans="2:42"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</row>
    <row r="74" spans="2:42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</row>
    <row r="75" spans="2:42"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</row>
    <row r="76" spans="2:42"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</row>
    <row r="77" spans="2:42"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</row>
    <row r="78" spans="2:42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</row>
    <row r="79" spans="2:42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</row>
    <row r="80" spans="2:42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</row>
    <row r="81" spans="2:42"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</row>
    <row r="82" spans="2:42"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</row>
    <row r="83" spans="2:42"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</row>
    <row r="84" spans="2:42"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</row>
    <row r="85" spans="2:42"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</row>
  </sheetData>
  <mergeCells count="2">
    <mergeCell ref="A1:D1"/>
    <mergeCell ref="B12:C12"/>
  </mergeCells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Spinner 5">
              <controlPr defaultSize="0" autoPict="0">
                <anchor moveWithCells="1" sizeWithCells="1">
                  <from>
                    <xdr:col>3</xdr:col>
                    <xdr:colOff>50800</xdr:colOff>
                    <xdr:row>4</xdr:row>
                    <xdr:rowOff>0</xdr:rowOff>
                  </from>
                  <to>
                    <xdr:col>3</xdr:col>
                    <xdr:colOff>571500</xdr:colOff>
                    <xdr:row>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linh13">
                <anchor moveWithCells="1" sizeWithCells="1">
                  <from>
                    <xdr:col>3</xdr:col>
                    <xdr:colOff>0</xdr:colOff>
                    <xdr:row>7</xdr:row>
                    <xdr:rowOff>114300</xdr:rowOff>
                  </from>
                  <to>
                    <xdr:col>5</xdr:col>
                    <xdr:colOff>419100</xdr:colOff>
                    <xdr:row>10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Linh_1">
                <anchor moveWithCells="1" sizeWithCells="1">
                  <from>
                    <xdr:col>3</xdr:col>
                    <xdr:colOff>12700</xdr:colOff>
                    <xdr:row>14</xdr:row>
                    <xdr:rowOff>0</xdr:rowOff>
                  </from>
                  <to>
                    <xdr:col>5</xdr:col>
                    <xdr:colOff>393700</xdr:colOff>
                    <xdr:row>16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Linh_2">
                <anchor moveWithCells="1" sizeWithCells="1">
                  <from>
                    <xdr:col>3</xdr:col>
                    <xdr:colOff>12700</xdr:colOff>
                    <xdr:row>11</xdr:row>
                    <xdr:rowOff>25400</xdr:rowOff>
                  </from>
                  <to>
                    <xdr:col>5</xdr:col>
                    <xdr:colOff>406400</xdr:colOff>
                    <xdr:row>13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2060"/>
  </sheetPr>
  <dimension ref="A1:AC171"/>
  <sheetViews>
    <sheetView zoomScale="90" zoomScaleNormal="90" zoomScalePageLayoutView="90" workbookViewId="0">
      <selection activeCell="J19" sqref="J19"/>
    </sheetView>
  </sheetViews>
  <sheetFormatPr baseColWidth="10" defaultColWidth="8.83203125" defaultRowHeight="14" x14ac:dyDescent="0"/>
  <cols>
    <col min="1" max="1" width="0.1640625" customWidth="1"/>
    <col min="4" max="4" width="26" customWidth="1"/>
    <col min="5" max="5" width="30.6640625" customWidth="1"/>
    <col min="6" max="6" width="28" customWidth="1"/>
    <col min="7" max="7" width="27.5" customWidth="1"/>
  </cols>
  <sheetData>
    <row r="1" spans="1:29">
      <c r="B1" s="77" t="s">
        <v>54</v>
      </c>
      <c r="C1" s="77"/>
      <c r="D1" s="77"/>
      <c r="E1" s="77"/>
      <c r="F1" s="77"/>
      <c r="G1" s="77"/>
    </row>
    <row r="2" spans="1:29" ht="34" customHeight="1">
      <c r="A2" s="42"/>
      <c r="B2" s="77"/>
      <c r="C2" s="77"/>
      <c r="D2" s="77"/>
      <c r="E2" s="77"/>
      <c r="F2" s="77"/>
      <c r="G2" s="77"/>
      <c r="H2" s="42"/>
      <c r="I2" s="42"/>
      <c r="J2" s="4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9">
      <c r="B3" s="73"/>
      <c r="C3" s="73"/>
      <c r="D3" s="73"/>
      <c r="E3" s="73"/>
      <c r="F3" s="73"/>
      <c r="G3" s="73"/>
      <c r="H3" s="42"/>
      <c r="I3" s="42"/>
      <c r="J3" s="4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</row>
    <row r="4" spans="1:29">
      <c r="B4" s="42"/>
      <c r="C4" s="42"/>
      <c r="D4" s="42"/>
      <c r="F4" s="42"/>
      <c r="G4" s="42"/>
      <c r="H4" s="42"/>
      <c r="I4" s="42"/>
      <c r="J4" s="4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</row>
    <row r="5" spans="1:29">
      <c r="B5" s="42"/>
      <c r="C5" s="42"/>
      <c r="D5" s="42"/>
      <c r="F5" s="42"/>
      <c r="G5" s="42"/>
      <c r="H5" s="42"/>
      <c r="I5" s="42"/>
      <c r="J5" s="4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</row>
    <row r="6" spans="1:29">
      <c r="B6" s="42"/>
      <c r="C6" s="42"/>
      <c r="D6" s="42"/>
      <c r="F6" s="42"/>
      <c r="G6" s="42"/>
      <c r="H6" s="42"/>
      <c r="I6" s="42"/>
      <c r="J6" s="4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9">
      <c r="B7" s="42"/>
      <c r="C7" s="42"/>
      <c r="D7" s="42"/>
      <c r="F7" s="42"/>
      <c r="G7" s="42"/>
      <c r="H7" s="42"/>
      <c r="I7" s="42"/>
      <c r="J7" s="4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2"/>
      <c r="AC7" s="32"/>
    </row>
    <row r="8" spans="1:29">
      <c r="B8" s="42"/>
      <c r="C8" s="42"/>
      <c r="D8" s="42"/>
      <c r="F8" s="42"/>
      <c r="G8" s="42"/>
      <c r="H8" s="42"/>
      <c r="I8" s="42"/>
      <c r="J8" s="4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32"/>
      <c r="AC8" s="32"/>
    </row>
    <row r="9" spans="1:29">
      <c r="B9" s="42"/>
      <c r="C9" s="42"/>
      <c r="D9" s="42"/>
      <c r="F9" s="42"/>
      <c r="G9" s="42"/>
      <c r="H9" s="42"/>
      <c r="I9" s="42"/>
      <c r="J9" s="4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32"/>
      <c r="AC9" s="32"/>
    </row>
    <row r="10" spans="1:29">
      <c r="B10" s="42"/>
      <c r="C10" s="42"/>
      <c r="D10" s="42"/>
      <c r="F10" s="42"/>
      <c r="G10" s="42"/>
      <c r="H10" s="42"/>
      <c r="I10" s="42"/>
      <c r="J10" s="4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32"/>
      <c r="AC10" s="32"/>
    </row>
    <row r="11" spans="1:29">
      <c r="B11" s="42"/>
      <c r="C11" s="42"/>
      <c r="D11" s="42"/>
      <c r="F11" s="42"/>
      <c r="G11" s="42"/>
      <c r="H11" s="42"/>
      <c r="I11" s="42"/>
      <c r="J11" s="4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32"/>
      <c r="AC11" s="32"/>
    </row>
    <row r="12" spans="1:29">
      <c r="B12" s="42"/>
      <c r="C12" s="42"/>
      <c r="D12" s="42"/>
      <c r="F12" s="42"/>
      <c r="G12" s="42"/>
      <c r="H12" s="42"/>
      <c r="I12" s="42"/>
      <c r="J12" s="4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32"/>
      <c r="AC12" s="32"/>
    </row>
    <row r="13" spans="1:29">
      <c r="B13" s="42"/>
      <c r="C13" s="42"/>
      <c r="D13" s="42"/>
      <c r="F13" s="42"/>
      <c r="G13" s="42"/>
      <c r="H13" s="42"/>
      <c r="I13" s="42"/>
      <c r="J13" s="4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32"/>
      <c r="AC13" s="32"/>
    </row>
    <row r="14" spans="1:29">
      <c r="B14" s="42"/>
      <c r="C14" s="42"/>
      <c r="D14" s="42"/>
      <c r="F14" s="42"/>
      <c r="G14" s="42"/>
      <c r="H14" s="42"/>
      <c r="I14" s="42"/>
      <c r="J14" s="4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32"/>
      <c r="AC14" s="32"/>
    </row>
    <row r="15" spans="1:29" ht="91" customHeight="1">
      <c r="B15" s="42"/>
      <c r="C15" s="42"/>
      <c r="D15" s="42"/>
      <c r="F15" s="42"/>
      <c r="G15" s="42"/>
      <c r="H15" s="42"/>
      <c r="I15" s="42"/>
      <c r="J15" s="4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32"/>
      <c r="AC15" s="32"/>
    </row>
    <row r="16" spans="1:29" ht="1.5" customHeight="1">
      <c r="B16" s="42"/>
      <c r="C16" s="42"/>
      <c r="D16" s="42"/>
      <c r="F16" s="42"/>
      <c r="G16" s="42"/>
      <c r="H16" s="42"/>
      <c r="I16" s="42"/>
      <c r="J16" s="4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32"/>
      <c r="AC16" s="32"/>
    </row>
    <row r="17" spans="1:29" ht="18">
      <c r="A17" s="73"/>
      <c r="B17" s="73"/>
      <c r="C17" s="73"/>
      <c r="D17" s="73"/>
      <c r="E17" s="31" t="s">
        <v>48</v>
      </c>
      <c r="F17" s="31" t="s">
        <v>49</v>
      </c>
      <c r="G17" s="31" t="s">
        <v>50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32"/>
      <c r="AC17" s="32"/>
    </row>
    <row r="18" spans="1:29" ht="18">
      <c r="A18" s="73"/>
      <c r="B18" s="21" t="s">
        <v>51</v>
      </c>
      <c r="C18" s="21"/>
      <c r="D18" s="21"/>
      <c r="E18" s="50"/>
      <c r="F18" s="55">
        <f t="shared" ref="F18:G21" si="0">E18</f>
        <v>0</v>
      </c>
      <c r="G18" s="55">
        <f t="shared" si="0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32"/>
      <c r="AC18" s="32"/>
    </row>
    <row r="19" spans="1:29" ht="18">
      <c r="A19" s="73"/>
      <c r="B19" s="21" t="s">
        <v>46</v>
      </c>
      <c r="C19" s="21"/>
      <c r="D19" s="21"/>
      <c r="E19" s="51"/>
      <c r="F19" s="56">
        <f t="shared" si="0"/>
        <v>0</v>
      </c>
      <c r="G19" s="56">
        <f t="shared" si="0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32"/>
      <c r="AC19" s="32"/>
    </row>
    <row r="20" spans="1:29" ht="18">
      <c r="A20" s="73"/>
      <c r="B20" s="21" t="s">
        <v>32</v>
      </c>
      <c r="C20" s="21"/>
      <c r="D20" s="21"/>
      <c r="E20" s="52">
        <f>Data!G2</f>
        <v>0</v>
      </c>
      <c r="F20" s="57">
        <f t="shared" si="0"/>
        <v>0</v>
      </c>
      <c r="G20" s="57">
        <f t="shared" si="0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32"/>
      <c r="AC20" s="32"/>
    </row>
    <row r="21" spans="1:29" ht="18">
      <c r="A21" s="73"/>
      <c r="B21" s="21" t="s">
        <v>44</v>
      </c>
      <c r="C21" s="21"/>
      <c r="D21" s="21"/>
      <c r="E21" s="50">
        <f>Data!G3</f>
        <v>0</v>
      </c>
      <c r="F21" s="55">
        <f t="shared" si="0"/>
        <v>0</v>
      </c>
      <c r="G21" s="55">
        <f t="shared" si="0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32"/>
      <c r="AC21" s="32"/>
    </row>
    <row r="22" spans="1:29" ht="18">
      <c r="A22" s="73"/>
      <c r="B22" s="21" t="s">
        <v>31</v>
      </c>
      <c r="C22" s="21"/>
      <c r="D22" s="21"/>
      <c r="E22" s="53"/>
      <c r="F22" s="58">
        <f>E22</f>
        <v>0</v>
      </c>
      <c r="G22" s="58">
        <f>E22</f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32"/>
      <c r="AC22" s="32"/>
    </row>
    <row r="23" spans="1:29" ht="19" customHeight="1">
      <c r="A23" s="73"/>
      <c r="B23" s="21" t="s">
        <v>45</v>
      </c>
      <c r="C23" s="21"/>
      <c r="D23" s="21"/>
      <c r="E23" s="54">
        <v>30</v>
      </c>
      <c r="F23" s="24">
        <v>20</v>
      </c>
      <c r="G23" s="24">
        <v>10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32"/>
      <c r="AC23" s="32"/>
    </row>
    <row r="24" spans="1:29" ht="31" customHeight="1">
      <c r="A24" s="73"/>
      <c r="B24" s="47" t="s">
        <v>47</v>
      </c>
      <c r="C24" s="47"/>
      <c r="D24" s="47"/>
      <c r="E24" s="45">
        <f>Data!H10</f>
        <v>0</v>
      </c>
      <c r="F24" s="46">
        <f>Data!N10</f>
        <v>0</v>
      </c>
      <c r="G24" s="46">
        <f>Data!U10</f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32"/>
      <c r="AC24" s="32"/>
    </row>
    <row r="25" spans="1:29" ht="31" customHeight="1">
      <c r="A25" s="73"/>
      <c r="B25" s="27" t="s">
        <v>33</v>
      </c>
      <c r="C25" s="27"/>
      <c r="D25" s="27"/>
      <c r="E25" s="28">
        <f>Data!I372</f>
        <v>0</v>
      </c>
      <c r="F25" s="29">
        <f>Data!P252</f>
        <v>0</v>
      </c>
      <c r="G25" s="28">
        <f>Data!W132</f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32"/>
      <c r="AC25" s="32"/>
    </row>
    <row r="26" spans="1:29" ht="18">
      <c r="A26" s="73"/>
      <c r="B26" s="22"/>
      <c r="C26" s="22"/>
      <c r="D26" s="22"/>
      <c r="E26" s="25"/>
      <c r="F26" s="25"/>
      <c r="G26" s="26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32"/>
      <c r="AC26" s="32"/>
    </row>
    <row r="27" spans="1:29">
      <c r="A27" s="48"/>
      <c r="B27" s="73"/>
      <c r="C27" s="73"/>
      <c r="D27" s="73"/>
      <c r="E27" s="4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</row>
    <row r="28" spans="1:29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</row>
    <row r="29" spans="1:29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</row>
    <row r="30" spans="1:29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</row>
    <row r="31" spans="1:29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</row>
    <row r="32" spans="1:29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</row>
    <row r="33" spans="1:27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</row>
    <row r="34" spans="1:27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</row>
    <row r="35" spans="1:27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</row>
    <row r="36" spans="1:27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</row>
    <row r="37" spans="1:27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</row>
    <row r="39" spans="1:27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</row>
    <row r="40" spans="1:27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</row>
    <row r="41" spans="1:27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</row>
    <row r="42" spans="1:27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</row>
    <row r="44" spans="1:27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</row>
    <row r="45" spans="1:27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</row>
    <row r="46" spans="1:27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</row>
    <row r="47" spans="1:27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</row>
    <row r="48" spans="1:27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</row>
    <row r="49" spans="1:27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</row>
    <row r="50" spans="1:27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</row>
    <row r="51" spans="1:27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</row>
    <row r="52" spans="1:27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</row>
    <row r="53" spans="1:27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</row>
    <row r="54" spans="1:27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</row>
    <row r="55" spans="1:27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</row>
    <row r="56" spans="1:27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</row>
    <row r="57" spans="1:27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</row>
    <row r="58" spans="1:27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</row>
    <row r="59" spans="1:27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</row>
    <row r="60" spans="1:27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</row>
    <row r="61" spans="1:27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</row>
    <row r="62" spans="1:27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</row>
    <row r="63" spans="1:27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</row>
    <row r="64" spans="1:27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</row>
    <row r="65" spans="1:27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</row>
    <row r="66" spans="1:27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</row>
    <row r="67" spans="1:27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</row>
    <row r="68" spans="1:27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</row>
    <row r="69" spans="1:27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</row>
    <row r="70" spans="1:27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</row>
    <row r="71" spans="1:27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</row>
    <row r="72" spans="1:27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</row>
    <row r="73" spans="1:27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</row>
    <row r="74" spans="1:27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</row>
    <row r="75" spans="1:27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</row>
    <row r="76" spans="1:27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</row>
    <row r="77" spans="1:27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</row>
    <row r="78" spans="1:27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</row>
    <row r="79" spans="1:27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</row>
    <row r="80" spans="1:27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</row>
    <row r="81" spans="1:27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</row>
    <row r="82" spans="1:27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</row>
    <row r="83" spans="1:27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</row>
    <row r="84" spans="1:27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</row>
    <row r="85" spans="1:27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</row>
    <row r="86" spans="1:27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</row>
    <row r="87" spans="1:27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</row>
    <row r="88" spans="1:27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</row>
    <row r="89" spans="1:27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</row>
    <row r="90" spans="1:27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</row>
    <row r="91" spans="1:27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</row>
    <row r="92" spans="1:27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</row>
    <row r="93" spans="1:27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</row>
    <row r="94" spans="1:27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</row>
    <row r="95" spans="1:27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</row>
    <row r="96" spans="1:27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</row>
    <row r="97" spans="1:27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</row>
    <row r="98" spans="1:27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</row>
    <row r="99" spans="1:27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1:27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1:27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1:27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1:27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1:27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1:27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1:27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1:27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1:27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1:27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1:27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1:27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1:27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1:27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1:27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1:27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1:27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1:27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1:27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1:27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1:27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1:27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1:27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1:27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1:27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1:27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1:27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1:27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1:27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1:27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1:27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1:27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1:27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1:27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1:27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1:27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1:27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1:27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1:27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1:27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1:27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1:27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1:27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1:27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1:27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1:27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1:27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1:27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1:27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1:27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1:27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1:27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1:27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1:27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1:27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1:27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1:27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1:27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1:27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1:27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1:27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1:27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1:27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1:27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1:27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1:27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1:27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1:27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1:27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1:27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1:27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1:27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</sheetData>
  <mergeCells count="5">
    <mergeCell ref="A17:D17"/>
    <mergeCell ref="A18:A26"/>
    <mergeCell ref="B1:G2"/>
    <mergeCell ref="B3:G3"/>
    <mergeCell ref="B27:D27"/>
  </mergeCells>
  <dataValidations count="1">
    <dataValidation type="list" allowBlank="1" showInputMessage="1" showErrorMessage="1" sqref="E23">
      <formula1>$E$23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INH5">
                <anchor moveWithCells="1" sizeWithCells="1">
                  <from>
                    <xdr:col>8</xdr:col>
                    <xdr:colOff>25400</xdr:colOff>
                    <xdr:row>7</xdr:row>
                    <xdr:rowOff>25400</xdr:rowOff>
                  </from>
                  <to>
                    <xdr:col>11</xdr:col>
                    <xdr:colOff>660400</xdr:colOff>
                    <xdr:row>11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LINH20">
                <anchor moveWithCells="1" sizeWithCells="1">
                  <from>
                    <xdr:col>8</xdr:col>
                    <xdr:colOff>0</xdr:colOff>
                    <xdr:row>13</xdr:row>
                    <xdr:rowOff>38100</xdr:rowOff>
                  </from>
                  <to>
                    <xdr:col>11</xdr:col>
                    <xdr:colOff>647700</xdr:colOff>
                    <xdr:row>14</xdr:row>
                    <xdr:rowOff>723900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2060"/>
  </sheetPr>
  <dimension ref="A1:Y374"/>
  <sheetViews>
    <sheetView workbookViewId="0">
      <selection activeCell="G4" sqref="G4"/>
    </sheetView>
  </sheetViews>
  <sheetFormatPr baseColWidth="10" defaultColWidth="8.83203125" defaultRowHeight="14" x14ac:dyDescent="0"/>
  <cols>
    <col min="1" max="1" width="16.33203125" customWidth="1"/>
    <col min="2" max="2" width="17.5" customWidth="1"/>
    <col min="3" max="3" width="13.1640625" customWidth="1"/>
    <col min="6" max="6" width="14.33203125" customWidth="1"/>
    <col min="7" max="7" width="23" customWidth="1"/>
    <col min="8" max="8" width="19.5" customWidth="1"/>
    <col min="9" max="9" width="18.5" customWidth="1"/>
    <col min="10" max="10" width="13" customWidth="1"/>
    <col min="11" max="11" width="15.33203125" customWidth="1"/>
    <col min="13" max="13" width="23" customWidth="1"/>
    <col min="14" max="14" width="17.1640625" customWidth="1"/>
    <col min="15" max="15" width="12.1640625" customWidth="1"/>
    <col min="16" max="16" width="13.1640625" customWidth="1"/>
    <col min="17" max="17" width="17" customWidth="1"/>
    <col min="18" max="18" width="19.83203125" customWidth="1"/>
    <col min="20" max="20" width="19.5" customWidth="1"/>
    <col min="21" max="21" width="16.5" customWidth="1"/>
    <col min="22" max="22" width="16.1640625" customWidth="1"/>
    <col min="23" max="23" width="16.5" customWidth="1"/>
    <col min="24" max="24" width="13" customWidth="1"/>
    <col min="25" max="25" width="17.5" customWidth="1"/>
  </cols>
  <sheetData>
    <row r="1" spans="1:25">
      <c r="A1" s="3" t="s">
        <v>11</v>
      </c>
      <c r="B1" s="1" t="s">
        <v>9</v>
      </c>
      <c r="G1" s="78"/>
      <c r="H1" s="78"/>
      <c r="I1" s="78"/>
    </row>
    <row r="2" spans="1:25">
      <c r="A2" t="s">
        <v>0</v>
      </c>
      <c r="B2" s="2">
        <v>1</v>
      </c>
      <c r="G2">
        <f>'Mortgage Calculator '!E19*'Mortgage Calculator '!E18</f>
        <v>0</v>
      </c>
    </row>
    <row r="3" spans="1:25">
      <c r="A3" t="s">
        <v>1</v>
      </c>
      <c r="B3" s="2">
        <v>2</v>
      </c>
      <c r="G3">
        <f>'Mortgage Calculator '!E18-'Mortgage Calculator '!E20</f>
        <v>0</v>
      </c>
    </row>
    <row r="4" spans="1:25">
      <c r="A4" t="s">
        <v>2</v>
      </c>
      <c r="B4" s="2">
        <v>4</v>
      </c>
      <c r="G4" s="30"/>
      <c r="H4" s="30"/>
      <c r="I4" s="30"/>
    </row>
    <row r="5" spans="1:25">
      <c r="A5" t="s">
        <v>3</v>
      </c>
      <c r="B5" s="2">
        <v>6</v>
      </c>
      <c r="G5" s="15" t="s">
        <v>43</v>
      </c>
      <c r="H5" s="49">
        <f>'Mortgage Calculator '!E18</f>
        <v>0</v>
      </c>
      <c r="M5" s="15" t="s">
        <v>43</v>
      </c>
      <c r="N5">
        <f>H5</f>
        <v>0</v>
      </c>
      <c r="T5" s="15" t="s">
        <v>43</v>
      </c>
      <c r="U5">
        <f>N5</f>
        <v>0</v>
      </c>
    </row>
    <row r="6" spans="1:25">
      <c r="A6" t="s">
        <v>4</v>
      </c>
      <c r="B6" s="2">
        <v>12</v>
      </c>
      <c r="G6" s="15" t="s">
        <v>32</v>
      </c>
      <c r="H6" s="20">
        <f>'Mortgage Calculator '!E20</f>
        <v>0</v>
      </c>
      <c r="M6" s="15" t="s">
        <v>32</v>
      </c>
      <c r="N6" s="20">
        <f>H6</f>
        <v>0</v>
      </c>
      <c r="T6" s="15" t="s">
        <v>32</v>
      </c>
      <c r="U6" s="20">
        <f>N6</f>
        <v>0</v>
      </c>
    </row>
    <row r="7" spans="1:25">
      <c r="A7" t="s">
        <v>5</v>
      </c>
      <c r="B7" s="2">
        <v>26</v>
      </c>
      <c r="C7" s="13">
        <f>Data!A25</f>
        <v>0</v>
      </c>
      <c r="G7" s="19" t="s">
        <v>34</v>
      </c>
      <c r="H7">
        <f>'Mortgage Calculator '!E21</f>
        <v>0</v>
      </c>
      <c r="M7" s="19" t="s">
        <v>34</v>
      </c>
      <c r="N7">
        <f>H7</f>
        <v>0</v>
      </c>
      <c r="T7" s="19" t="s">
        <v>34</v>
      </c>
      <c r="U7" s="11">
        <f>N7</f>
        <v>0</v>
      </c>
    </row>
    <row r="8" spans="1:25">
      <c r="A8" t="s">
        <v>6</v>
      </c>
      <c r="B8" s="2">
        <v>52</v>
      </c>
      <c r="G8" s="19" t="s">
        <v>35</v>
      </c>
      <c r="H8" s="23">
        <f>'Mortgage Calculator '!E23*12</f>
        <v>360</v>
      </c>
      <c r="M8" s="19" t="s">
        <v>35</v>
      </c>
      <c r="N8" s="23">
        <f>'Mortgage Calculator '!F23*12</f>
        <v>240</v>
      </c>
      <c r="T8" s="19" t="s">
        <v>35</v>
      </c>
      <c r="U8" s="23">
        <f>'Mortgage Calculator '!G23*12</f>
        <v>120</v>
      </c>
    </row>
    <row r="9" spans="1:25">
      <c r="A9" t="s">
        <v>7</v>
      </c>
      <c r="B9" s="2">
        <v>365</v>
      </c>
      <c r="G9" s="19" t="s">
        <v>36</v>
      </c>
      <c r="H9">
        <f>'Mortgage Calculator '!E22/12</f>
        <v>0</v>
      </c>
      <c r="M9" s="19" t="s">
        <v>36</v>
      </c>
      <c r="N9">
        <f>H9</f>
        <v>0</v>
      </c>
      <c r="T9" s="19" t="s">
        <v>36</v>
      </c>
      <c r="U9">
        <f>N9</f>
        <v>0</v>
      </c>
    </row>
    <row r="10" spans="1:25" ht="15" thickBot="1">
      <c r="A10" t="s">
        <v>8</v>
      </c>
      <c r="B10" s="2" t="s">
        <v>10</v>
      </c>
      <c r="G10" s="19" t="s">
        <v>42</v>
      </c>
      <c r="H10" s="14">
        <f>PMT(H9,H8,-H7,0)</f>
        <v>0</v>
      </c>
      <c r="M10" s="19" t="s">
        <v>42</v>
      </c>
      <c r="N10" s="14">
        <f>PMT(N9,N8,-N7,0)</f>
        <v>0</v>
      </c>
      <c r="T10" s="19" t="s">
        <v>42</v>
      </c>
      <c r="U10" s="14">
        <f>PMT(U9,U8,-U7,0)</f>
        <v>0</v>
      </c>
    </row>
    <row r="11" spans="1:25" ht="15" thickBot="1">
      <c r="F11" s="17" t="s">
        <v>4</v>
      </c>
      <c r="G11" s="16" t="s">
        <v>37</v>
      </c>
      <c r="H11" s="16" t="s">
        <v>38</v>
      </c>
      <c r="I11" s="16" t="s">
        <v>39</v>
      </c>
      <c r="J11" s="16" t="s">
        <v>40</v>
      </c>
      <c r="K11" s="18" t="s">
        <v>41</v>
      </c>
      <c r="M11" s="17" t="s">
        <v>4</v>
      </c>
      <c r="N11" s="16" t="s">
        <v>37</v>
      </c>
      <c r="O11" s="16" t="s">
        <v>38</v>
      </c>
      <c r="P11" s="16" t="s">
        <v>39</v>
      </c>
      <c r="Q11" s="16" t="s">
        <v>40</v>
      </c>
      <c r="R11" s="18" t="s">
        <v>41</v>
      </c>
      <c r="T11" s="17" t="s">
        <v>4</v>
      </c>
      <c r="U11" s="16" t="s">
        <v>37</v>
      </c>
      <c r="V11" s="16" t="s">
        <v>38</v>
      </c>
      <c r="W11" s="16" t="s">
        <v>39</v>
      </c>
      <c r="X11" s="16" t="s">
        <v>40</v>
      </c>
      <c r="Y11" s="18" t="s">
        <v>41</v>
      </c>
    </row>
    <row r="12" spans="1:25">
      <c r="F12">
        <v>1</v>
      </c>
      <c r="G12" s="11">
        <f>H7</f>
        <v>0</v>
      </c>
      <c r="H12" s="11">
        <f>H10</f>
        <v>0</v>
      </c>
      <c r="I12" s="11">
        <f>G12*H9</f>
        <v>0</v>
      </c>
      <c r="J12" s="11">
        <f>H12-I12</f>
        <v>0</v>
      </c>
      <c r="K12" s="11">
        <f>G12-J12</f>
        <v>0</v>
      </c>
      <c r="M12">
        <v>1</v>
      </c>
      <c r="N12" s="13">
        <f>N7</f>
        <v>0</v>
      </c>
      <c r="O12" s="13">
        <f>N10</f>
        <v>0</v>
      </c>
      <c r="P12" s="13">
        <f>N12*N9</f>
        <v>0</v>
      </c>
      <c r="Q12" s="13">
        <f>O12-P12</f>
        <v>0</v>
      </c>
      <c r="R12" s="13">
        <f>N12-Q12</f>
        <v>0</v>
      </c>
      <c r="T12">
        <v>1</v>
      </c>
      <c r="U12" s="4">
        <f>U7</f>
        <v>0</v>
      </c>
      <c r="V12" s="13">
        <f>U10</f>
        <v>0</v>
      </c>
      <c r="W12">
        <f>U12*U9</f>
        <v>0</v>
      </c>
      <c r="X12" s="13">
        <f>V12-W12</f>
        <v>0</v>
      </c>
      <c r="Y12" s="4">
        <f>U12-X12</f>
        <v>0</v>
      </c>
    </row>
    <row r="13" spans="1:25">
      <c r="F13">
        <v>2</v>
      </c>
      <c r="G13" s="11">
        <f>K12</f>
        <v>0</v>
      </c>
      <c r="H13" s="11">
        <f>$H$10</f>
        <v>0</v>
      </c>
      <c r="I13" s="11">
        <f>G13*$H$9</f>
        <v>0</v>
      </c>
      <c r="J13" s="11">
        <f>H13-I13</f>
        <v>0</v>
      </c>
      <c r="K13" s="11">
        <f>G13-J13</f>
        <v>0</v>
      </c>
      <c r="M13">
        <v>2</v>
      </c>
      <c r="N13" s="13">
        <f>R12</f>
        <v>0</v>
      </c>
      <c r="O13" s="13">
        <f>$N$10</f>
        <v>0</v>
      </c>
      <c r="P13" s="13">
        <f>N13*$N$9</f>
        <v>0</v>
      </c>
      <c r="Q13" s="13">
        <f>O13-P13</f>
        <v>0</v>
      </c>
      <c r="R13" s="13">
        <f>N13-Q13</f>
        <v>0</v>
      </c>
      <c r="T13">
        <v>2</v>
      </c>
      <c r="U13" s="4">
        <f>Y12</f>
        <v>0</v>
      </c>
      <c r="V13" s="13">
        <f>$U$10</f>
        <v>0</v>
      </c>
      <c r="W13" s="4">
        <f>U13*$U$9</f>
        <v>0</v>
      </c>
      <c r="X13" s="13">
        <f>V13-W13</f>
        <v>0</v>
      </c>
      <c r="Y13" s="4">
        <f>U13-X13</f>
        <v>0</v>
      </c>
    </row>
    <row r="14" spans="1:25">
      <c r="A14" s="73" t="s">
        <v>22</v>
      </c>
      <c r="B14" s="73"/>
      <c r="F14">
        <v>3</v>
      </c>
      <c r="G14" s="11">
        <f t="shared" ref="G14:G22" si="0">K13</f>
        <v>0</v>
      </c>
      <c r="H14" s="11">
        <f t="shared" ref="H14:H77" si="1">$H$10</f>
        <v>0</v>
      </c>
      <c r="I14" s="11">
        <f t="shared" ref="I14:I22" si="2">G14*$H$9</f>
        <v>0</v>
      </c>
      <c r="J14" s="11">
        <f t="shared" ref="J14:J22" si="3">H14-I14</f>
        <v>0</v>
      </c>
      <c r="K14" s="11">
        <f t="shared" ref="K14:K22" si="4">G14-J14</f>
        <v>0</v>
      </c>
      <c r="M14">
        <v>3</v>
      </c>
      <c r="N14" s="13">
        <f t="shared" ref="N14:N77" si="5">R13</f>
        <v>0</v>
      </c>
      <c r="O14" s="13">
        <f t="shared" ref="O14:O77" si="6">$N$10</f>
        <v>0</v>
      </c>
      <c r="P14" s="13">
        <f t="shared" ref="P14:P77" si="7">N14*$N$9</f>
        <v>0</v>
      </c>
      <c r="Q14" s="13">
        <f t="shared" ref="Q14:Q77" si="8">O14-P14</f>
        <v>0</v>
      </c>
      <c r="R14" s="13">
        <f t="shared" ref="R14:R77" si="9">N14-Q14</f>
        <v>0</v>
      </c>
      <c r="T14">
        <v>3</v>
      </c>
      <c r="U14" s="4">
        <f t="shared" ref="U14:U27" si="10">Y13</f>
        <v>0</v>
      </c>
      <c r="V14" s="13">
        <f t="shared" ref="V14:V77" si="11">$U$10</f>
        <v>0</v>
      </c>
      <c r="W14" s="4">
        <f t="shared" ref="W14:W27" si="12">U14*$U$9</f>
        <v>0</v>
      </c>
      <c r="X14" s="13">
        <f t="shared" ref="X14:X27" si="13">V14-W14</f>
        <v>0</v>
      </c>
      <c r="Y14" s="4">
        <f t="shared" ref="Y14:Y27" si="14">U14-X14</f>
        <v>0</v>
      </c>
    </row>
    <row r="15" spans="1:25" ht="15" thickBot="1">
      <c r="A15" s="2" t="s">
        <v>29</v>
      </c>
      <c r="B15" s="2" t="s">
        <v>30</v>
      </c>
      <c r="F15">
        <v>4</v>
      </c>
      <c r="G15" s="11">
        <f t="shared" si="0"/>
        <v>0</v>
      </c>
      <c r="H15" s="11">
        <f t="shared" si="1"/>
        <v>0</v>
      </c>
      <c r="I15" s="11">
        <f t="shared" si="2"/>
        <v>0</v>
      </c>
      <c r="J15" s="11">
        <f t="shared" si="3"/>
        <v>0</v>
      </c>
      <c r="K15" s="11">
        <f t="shared" si="4"/>
        <v>0</v>
      </c>
      <c r="M15">
        <v>4</v>
      </c>
      <c r="N15" s="13">
        <f t="shared" si="5"/>
        <v>0</v>
      </c>
      <c r="O15" s="13">
        <f t="shared" si="6"/>
        <v>0</v>
      </c>
      <c r="P15" s="13">
        <f t="shared" si="7"/>
        <v>0</v>
      </c>
      <c r="Q15" s="13">
        <f t="shared" si="8"/>
        <v>0</v>
      </c>
      <c r="R15" s="13">
        <f t="shared" si="9"/>
        <v>0</v>
      </c>
      <c r="T15">
        <v>4</v>
      </c>
      <c r="U15" s="4">
        <f t="shared" si="10"/>
        <v>0</v>
      </c>
      <c r="V15" s="13">
        <f t="shared" si="11"/>
        <v>0</v>
      </c>
      <c r="W15" s="4">
        <f t="shared" si="12"/>
        <v>0</v>
      </c>
      <c r="X15" s="13">
        <f t="shared" si="13"/>
        <v>0</v>
      </c>
      <c r="Y15" s="4">
        <f t="shared" si="14"/>
        <v>0</v>
      </c>
    </row>
    <row r="16" spans="1:25">
      <c r="A16" s="6">
        <v>0.01</v>
      </c>
      <c r="B16" s="7">
        <v>0.01</v>
      </c>
      <c r="F16">
        <v>5</v>
      </c>
      <c r="G16" s="11">
        <f t="shared" si="0"/>
        <v>0</v>
      </c>
      <c r="H16" s="11">
        <f t="shared" si="1"/>
        <v>0</v>
      </c>
      <c r="I16" s="11">
        <f t="shared" si="2"/>
        <v>0</v>
      </c>
      <c r="J16" s="11">
        <f t="shared" si="3"/>
        <v>0</v>
      </c>
      <c r="K16" s="11">
        <f t="shared" si="4"/>
        <v>0</v>
      </c>
      <c r="M16">
        <v>5</v>
      </c>
      <c r="N16" s="13">
        <f t="shared" si="5"/>
        <v>0</v>
      </c>
      <c r="O16" s="13">
        <f t="shared" si="6"/>
        <v>0</v>
      </c>
      <c r="P16" s="13">
        <f t="shared" si="7"/>
        <v>0</v>
      </c>
      <c r="Q16" s="13">
        <f t="shared" si="8"/>
        <v>0</v>
      </c>
      <c r="R16" s="13">
        <f t="shared" si="9"/>
        <v>0</v>
      </c>
      <c r="T16">
        <v>5</v>
      </c>
      <c r="U16" s="4">
        <f t="shared" si="10"/>
        <v>0</v>
      </c>
      <c r="V16" s="13">
        <f t="shared" si="11"/>
        <v>0</v>
      </c>
      <c r="W16" s="4">
        <f t="shared" si="12"/>
        <v>0</v>
      </c>
      <c r="X16" s="13">
        <f t="shared" si="13"/>
        <v>0</v>
      </c>
      <c r="Y16" s="4">
        <f t="shared" si="14"/>
        <v>0</v>
      </c>
    </row>
    <row r="17" spans="1:25">
      <c r="A17" s="8">
        <v>0.02</v>
      </c>
      <c r="B17" s="5">
        <v>0.02</v>
      </c>
      <c r="F17">
        <v>6</v>
      </c>
      <c r="G17" s="11">
        <f t="shared" si="0"/>
        <v>0</v>
      </c>
      <c r="H17" s="11">
        <f t="shared" si="1"/>
        <v>0</v>
      </c>
      <c r="I17" s="11">
        <f t="shared" si="2"/>
        <v>0</v>
      </c>
      <c r="J17" s="11">
        <f t="shared" si="3"/>
        <v>0</v>
      </c>
      <c r="K17" s="11">
        <f t="shared" si="4"/>
        <v>0</v>
      </c>
      <c r="M17">
        <v>6</v>
      </c>
      <c r="N17" s="13">
        <f t="shared" si="5"/>
        <v>0</v>
      </c>
      <c r="O17" s="13">
        <f t="shared" si="6"/>
        <v>0</v>
      </c>
      <c r="P17" s="13">
        <f t="shared" si="7"/>
        <v>0</v>
      </c>
      <c r="Q17" s="13">
        <f t="shared" si="8"/>
        <v>0</v>
      </c>
      <c r="R17" s="13">
        <f t="shared" si="9"/>
        <v>0</v>
      </c>
      <c r="T17">
        <v>6</v>
      </c>
      <c r="U17" s="4">
        <f t="shared" si="10"/>
        <v>0</v>
      </c>
      <c r="V17" s="13">
        <f t="shared" si="11"/>
        <v>0</v>
      </c>
      <c r="W17" s="4">
        <f t="shared" si="12"/>
        <v>0</v>
      </c>
      <c r="X17" s="13">
        <f t="shared" si="13"/>
        <v>0</v>
      </c>
      <c r="Y17" s="4">
        <f t="shared" si="14"/>
        <v>0</v>
      </c>
    </row>
    <row r="18" spans="1:25">
      <c r="A18" s="8">
        <v>0.03</v>
      </c>
      <c r="B18" s="5">
        <v>2.5000000000000001E-2</v>
      </c>
      <c r="F18">
        <v>7</v>
      </c>
      <c r="G18" s="11">
        <f t="shared" si="0"/>
        <v>0</v>
      </c>
      <c r="H18" s="11">
        <f t="shared" si="1"/>
        <v>0</v>
      </c>
      <c r="I18" s="11">
        <f t="shared" si="2"/>
        <v>0</v>
      </c>
      <c r="J18" s="11">
        <f t="shared" si="3"/>
        <v>0</v>
      </c>
      <c r="K18" s="11">
        <f t="shared" si="4"/>
        <v>0</v>
      </c>
      <c r="M18">
        <v>7</v>
      </c>
      <c r="N18" s="13">
        <f t="shared" si="5"/>
        <v>0</v>
      </c>
      <c r="O18" s="13">
        <f t="shared" si="6"/>
        <v>0</v>
      </c>
      <c r="P18" s="13">
        <f t="shared" si="7"/>
        <v>0</v>
      </c>
      <c r="Q18" s="13">
        <f t="shared" si="8"/>
        <v>0</v>
      </c>
      <c r="R18" s="13">
        <f t="shared" si="9"/>
        <v>0</v>
      </c>
      <c r="T18">
        <v>7</v>
      </c>
      <c r="U18" s="4">
        <f t="shared" si="10"/>
        <v>0</v>
      </c>
      <c r="V18" s="13">
        <f t="shared" si="11"/>
        <v>0</v>
      </c>
      <c r="W18" s="4">
        <f t="shared" si="12"/>
        <v>0</v>
      </c>
      <c r="X18" s="13">
        <f t="shared" si="13"/>
        <v>0</v>
      </c>
      <c r="Y18" s="4">
        <f t="shared" si="14"/>
        <v>0</v>
      </c>
    </row>
    <row r="19" spans="1:25">
      <c r="A19" s="8">
        <v>0.04</v>
      </c>
      <c r="B19" s="5">
        <v>3.5000000000000003E-2</v>
      </c>
      <c r="F19">
        <v>8</v>
      </c>
      <c r="G19" s="11">
        <f t="shared" si="0"/>
        <v>0</v>
      </c>
      <c r="H19" s="11">
        <f t="shared" si="1"/>
        <v>0</v>
      </c>
      <c r="I19" s="11">
        <f t="shared" si="2"/>
        <v>0</v>
      </c>
      <c r="J19" s="11">
        <f t="shared" si="3"/>
        <v>0</v>
      </c>
      <c r="K19" s="11">
        <f t="shared" si="4"/>
        <v>0</v>
      </c>
      <c r="M19">
        <v>8</v>
      </c>
      <c r="N19" s="13">
        <f t="shared" si="5"/>
        <v>0</v>
      </c>
      <c r="O19" s="13">
        <f t="shared" si="6"/>
        <v>0</v>
      </c>
      <c r="P19" s="13">
        <f t="shared" si="7"/>
        <v>0</v>
      </c>
      <c r="Q19" s="13">
        <f t="shared" si="8"/>
        <v>0</v>
      </c>
      <c r="R19" s="13">
        <f t="shared" si="9"/>
        <v>0</v>
      </c>
      <c r="T19">
        <v>8</v>
      </c>
      <c r="U19" s="4">
        <f t="shared" si="10"/>
        <v>0</v>
      </c>
      <c r="V19" s="13">
        <f t="shared" si="11"/>
        <v>0</v>
      </c>
      <c r="W19" s="4">
        <f t="shared" si="12"/>
        <v>0</v>
      </c>
      <c r="X19" s="13">
        <f t="shared" si="13"/>
        <v>0</v>
      </c>
      <c r="Y19" s="4">
        <f t="shared" si="14"/>
        <v>0</v>
      </c>
    </row>
    <row r="20" spans="1:25" ht="15" thickBot="1">
      <c r="A20" s="9">
        <v>0.05</v>
      </c>
      <c r="B20" s="10">
        <v>4.4999999999999998E-2</v>
      </c>
      <c r="F20">
        <v>9</v>
      </c>
      <c r="G20" s="11">
        <f t="shared" si="0"/>
        <v>0</v>
      </c>
      <c r="H20" s="11">
        <f t="shared" si="1"/>
        <v>0</v>
      </c>
      <c r="I20" s="11">
        <f t="shared" si="2"/>
        <v>0</v>
      </c>
      <c r="J20" s="11">
        <f t="shared" si="3"/>
        <v>0</v>
      </c>
      <c r="K20" s="11">
        <f t="shared" si="4"/>
        <v>0</v>
      </c>
      <c r="M20">
        <v>9</v>
      </c>
      <c r="N20" s="13">
        <f t="shared" si="5"/>
        <v>0</v>
      </c>
      <c r="O20" s="13">
        <f t="shared" si="6"/>
        <v>0</v>
      </c>
      <c r="P20" s="13">
        <f t="shared" si="7"/>
        <v>0</v>
      </c>
      <c r="Q20" s="13">
        <f t="shared" si="8"/>
        <v>0</v>
      </c>
      <c r="R20" s="13">
        <f t="shared" si="9"/>
        <v>0</v>
      </c>
      <c r="T20">
        <v>9</v>
      </c>
      <c r="U20" s="4">
        <f t="shared" si="10"/>
        <v>0</v>
      </c>
      <c r="V20" s="13">
        <f t="shared" si="11"/>
        <v>0</v>
      </c>
      <c r="W20" s="4">
        <f t="shared" si="12"/>
        <v>0</v>
      </c>
      <c r="X20" s="13">
        <f t="shared" si="13"/>
        <v>0</v>
      </c>
      <c r="Y20" s="4">
        <f t="shared" si="14"/>
        <v>0</v>
      </c>
    </row>
    <row r="21" spans="1:25">
      <c r="F21">
        <v>10</v>
      </c>
      <c r="G21" s="11">
        <f t="shared" si="0"/>
        <v>0</v>
      </c>
      <c r="H21" s="11">
        <f t="shared" si="1"/>
        <v>0</v>
      </c>
      <c r="I21" s="11">
        <f t="shared" si="2"/>
        <v>0</v>
      </c>
      <c r="J21" s="11">
        <f t="shared" si="3"/>
        <v>0</v>
      </c>
      <c r="K21" s="11">
        <f t="shared" si="4"/>
        <v>0</v>
      </c>
      <c r="M21">
        <v>10</v>
      </c>
      <c r="N21" s="13">
        <f t="shared" si="5"/>
        <v>0</v>
      </c>
      <c r="O21" s="13">
        <f t="shared" si="6"/>
        <v>0</v>
      </c>
      <c r="P21" s="13">
        <f t="shared" si="7"/>
        <v>0</v>
      </c>
      <c r="Q21" s="13">
        <f t="shared" si="8"/>
        <v>0</v>
      </c>
      <c r="R21" s="13">
        <f t="shared" si="9"/>
        <v>0</v>
      </c>
      <c r="T21">
        <v>10</v>
      </c>
      <c r="U21" s="4">
        <f t="shared" si="10"/>
        <v>0</v>
      </c>
      <c r="V21" s="13">
        <f t="shared" si="11"/>
        <v>0</v>
      </c>
      <c r="W21" s="4">
        <f t="shared" si="12"/>
        <v>0</v>
      </c>
      <c r="X21" s="13">
        <f t="shared" si="13"/>
        <v>0</v>
      </c>
      <c r="Y21" s="4">
        <f t="shared" si="14"/>
        <v>0</v>
      </c>
    </row>
    <row r="22" spans="1:25">
      <c r="F22">
        <v>11</v>
      </c>
      <c r="G22" s="11">
        <f t="shared" si="0"/>
        <v>0</v>
      </c>
      <c r="H22" s="11">
        <f t="shared" si="1"/>
        <v>0</v>
      </c>
      <c r="I22" s="11">
        <f t="shared" si="2"/>
        <v>0</v>
      </c>
      <c r="J22" s="11">
        <f t="shared" si="3"/>
        <v>0</v>
      </c>
      <c r="K22" s="11">
        <f t="shared" si="4"/>
        <v>0</v>
      </c>
      <c r="M22">
        <v>11</v>
      </c>
      <c r="N22" s="13">
        <f t="shared" si="5"/>
        <v>0</v>
      </c>
      <c r="O22" s="13">
        <f t="shared" si="6"/>
        <v>0</v>
      </c>
      <c r="P22" s="13">
        <f t="shared" si="7"/>
        <v>0</v>
      </c>
      <c r="Q22" s="13">
        <f t="shared" si="8"/>
        <v>0</v>
      </c>
      <c r="R22" s="13">
        <f t="shared" si="9"/>
        <v>0</v>
      </c>
      <c r="T22">
        <v>11</v>
      </c>
      <c r="U22" s="4">
        <f t="shared" si="10"/>
        <v>0</v>
      </c>
      <c r="V22" s="13">
        <f t="shared" si="11"/>
        <v>0</v>
      </c>
      <c r="W22" s="4">
        <f t="shared" si="12"/>
        <v>0</v>
      </c>
      <c r="X22" s="13">
        <f t="shared" si="13"/>
        <v>0</v>
      </c>
      <c r="Y22" s="4">
        <f t="shared" si="14"/>
        <v>0</v>
      </c>
    </row>
    <row r="23" spans="1:25">
      <c r="A23" s="13" t="e">
        <f>FV('Bond Valuation '!D6/'Bond Valuation '!D7,'Bond Valuation '!D3*'Bond Valuation '!D7,-'Bond Valuation '!D5*'Bond Valuation '!D9/'Bond Valuation '!D7,-'Bond Valuation '!D9)</f>
        <v>#DIV/0!</v>
      </c>
      <c r="F23">
        <v>12</v>
      </c>
      <c r="G23" s="11">
        <f t="shared" ref="G23:G44" si="15">K22</f>
        <v>0</v>
      </c>
      <c r="H23" s="11">
        <f t="shared" si="1"/>
        <v>0</v>
      </c>
      <c r="I23" s="11">
        <f t="shared" ref="I23:I44" si="16">G23*$H$9</f>
        <v>0</v>
      </c>
      <c r="J23" s="11">
        <f t="shared" ref="J23:J44" si="17">H23-I23</f>
        <v>0</v>
      </c>
      <c r="K23" s="11">
        <f t="shared" ref="K23:K44" si="18">G23-J23</f>
        <v>0</v>
      </c>
      <c r="M23">
        <v>12</v>
      </c>
      <c r="N23" s="13">
        <f t="shared" si="5"/>
        <v>0</v>
      </c>
      <c r="O23" s="13">
        <f t="shared" si="6"/>
        <v>0</v>
      </c>
      <c r="P23" s="13">
        <f t="shared" si="7"/>
        <v>0</v>
      </c>
      <c r="Q23" s="13">
        <f t="shared" si="8"/>
        <v>0</v>
      </c>
      <c r="R23" s="13">
        <f t="shared" si="9"/>
        <v>0</v>
      </c>
      <c r="T23">
        <v>12</v>
      </c>
      <c r="U23" s="4">
        <f t="shared" si="10"/>
        <v>0</v>
      </c>
      <c r="V23" s="13">
        <f t="shared" si="11"/>
        <v>0</v>
      </c>
      <c r="W23" s="4">
        <f t="shared" si="12"/>
        <v>0</v>
      </c>
      <c r="X23" s="13">
        <f t="shared" si="13"/>
        <v>0</v>
      </c>
      <c r="Y23" s="4">
        <f t="shared" si="14"/>
        <v>0</v>
      </c>
    </row>
    <row r="24" spans="1:25">
      <c r="F24">
        <v>13</v>
      </c>
      <c r="G24" s="11">
        <f t="shared" si="15"/>
        <v>0</v>
      </c>
      <c r="H24" s="11">
        <f t="shared" si="1"/>
        <v>0</v>
      </c>
      <c r="I24" s="11">
        <f t="shared" si="16"/>
        <v>0</v>
      </c>
      <c r="J24" s="11">
        <f t="shared" si="17"/>
        <v>0</v>
      </c>
      <c r="K24" s="11">
        <f t="shared" si="18"/>
        <v>0</v>
      </c>
      <c r="M24">
        <v>13</v>
      </c>
      <c r="N24" s="13">
        <f t="shared" si="5"/>
        <v>0</v>
      </c>
      <c r="O24" s="13">
        <f t="shared" si="6"/>
        <v>0</v>
      </c>
      <c r="P24" s="13">
        <f t="shared" si="7"/>
        <v>0</v>
      </c>
      <c r="Q24" s="13">
        <f t="shared" si="8"/>
        <v>0</v>
      </c>
      <c r="R24" s="13">
        <f t="shared" si="9"/>
        <v>0</v>
      </c>
      <c r="T24">
        <v>13</v>
      </c>
      <c r="U24" s="4">
        <f t="shared" si="10"/>
        <v>0</v>
      </c>
      <c r="V24" s="13">
        <f t="shared" si="11"/>
        <v>0</v>
      </c>
      <c r="W24" s="4">
        <f t="shared" si="12"/>
        <v>0</v>
      </c>
      <c r="X24" s="13">
        <f t="shared" si="13"/>
        <v>0</v>
      </c>
      <c r="Y24" s="4">
        <f t="shared" si="14"/>
        <v>0</v>
      </c>
    </row>
    <row r="25" spans="1:25">
      <c r="A25" s="13">
        <f>FV(FV!C3/FV!C5,FV!C5,0,-FV!C2,1)</f>
        <v>0</v>
      </c>
      <c r="F25">
        <v>14</v>
      </c>
      <c r="G25" s="11">
        <f t="shared" si="15"/>
        <v>0</v>
      </c>
      <c r="H25" s="11">
        <f t="shared" si="1"/>
        <v>0</v>
      </c>
      <c r="I25" s="11">
        <f t="shared" si="16"/>
        <v>0</v>
      </c>
      <c r="J25" s="11">
        <f t="shared" si="17"/>
        <v>0</v>
      </c>
      <c r="K25" s="11">
        <f t="shared" si="18"/>
        <v>0</v>
      </c>
      <c r="M25">
        <v>14</v>
      </c>
      <c r="N25" s="13">
        <f t="shared" si="5"/>
        <v>0</v>
      </c>
      <c r="O25" s="13">
        <f t="shared" si="6"/>
        <v>0</v>
      </c>
      <c r="P25" s="13">
        <f t="shared" si="7"/>
        <v>0</v>
      </c>
      <c r="Q25" s="13">
        <f t="shared" si="8"/>
        <v>0</v>
      </c>
      <c r="R25" s="13">
        <f t="shared" si="9"/>
        <v>0</v>
      </c>
      <c r="T25">
        <v>14</v>
      </c>
      <c r="U25" s="4">
        <f t="shared" si="10"/>
        <v>0</v>
      </c>
      <c r="V25" s="13">
        <f t="shared" si="11"/>
        <v>0</v>
      </c>
      <c r="W25" s="4">
        <f t="shared" si="12"/>
        <v>0</v>
      </c>
      <c r="X25" s="13">
        <f t="shared" si="13"/>
        <v>0</v>
      </c>
      <c r="Y25" s="4">
        <f t="shared" si="14"/>
        <v>0</v>
      </c>
    </row>
    <row r="26" spans="1:25">
      <c r="F26">
        <v>15</v>
      </c>
      <c r="G26" s="11">
        <f t="shared" si="15"/>
        <v>0</v>
      </c>
      <c r="H26" s="11">
        <f t="shared" si="1"/>
        <v>0</v>
      </c>
      <c r="I26" s="11">
        <f t="shared" si="16"/>
        <v>0</v>
      </c>
      <c r="J26" s="11">
        <f t="shared" si="17"/>
        <v>0</v>
      </c>
      <c r="K26" s="11">
        <f t="shared" si="18"/>
        <v>0</v>
      </c>
      <c r="M26">
        <v>15</v>
      </c>
      <c r="N26" s="13">
        <f t="shared" si="5"/>
        <v>0</v>
      </c>
      <c r="O26" s="13">
        <f t="shared" si="6"/>
        <v>0</v>
      </c>
      <c r="P26" s="13">
        <f t="shared" si="7"/>
        <v>0</v>
      </c>
      <c r="Q26" s="13">
        <f t="shared" si="8"/>
        <v>0</v>
      </c>
      <c r="R26" s="13">
        <f t="shared" si="9"/>
        <v>0</v>
      </c>
      <c r="T26">
        <v>15</v>
      </c>
      <c r="U26" s="4">
        <f t="shared" si="10"/>
        <v>0</v>
      </c>
      <c r="V26" s="13">
        <f t="shared" si="11"/>
        <v>0</v>
      </c>
      <c r="W26" s="4">
        <f t="shared" si="12"/>
        <v>0</v>
      </c>
      <c r="X26" s="13">
        <f t="shared" si="13"/>
        <v>0</v>
      </c>
      <c r="Y26" s="4">
        <f t="shared" si="14"/>
        <v>0</v>
      </c>
    </row>
    <row r="27" spans="1:25">
      <c r="F27">
        <v>16</v>
      </c>
      <c r="G27" s="11">
        <f t="shared" si="15"/>
        <v>0</v>
      </c>
      <c r="H27" s="11">
        <f t="shared" si="1"/>
        <v>0</v>
      </c>
      <c r="I27" s="11">
        <f t="shared" si="16"/>
        <v>0</v>
      </c>
      <c r="J27" s="11">
        <f t="shared" si="17"/>
        <v>0</v>
      </c>
      <c r="K27" s="11">
        <f t="shared" si="18"/>
        <v>0</v>
      </c>
      <c r="M27">
        <v>16</v>
      </c>
      <c r="N27" s="13">
        <f t="shared" si="5"/>
        <v>0</v>
      </c>
      <c r="O27" s="13">
        <f t="shared" si="6"/>
        <v>0</v>
      </c>
      <c r="P27" s="13">
        <f t="shared" si="7"/>
        <v>0</v>
      </c>
      <c r="Q27" s="13">
        <f t="shared" si="8"/>
        <v>0</v>
      </c>
      <c r="R27" s="13">
        <f t="shared" si="9"/>
        <v>0</v>
      </c>
      <c r="T27">
        <v>16</v>
      </c>
      <c r="U27" s="4">
        <f t="shared" si="10"/>
        <v>0</v>
      </c>
      <c r="V27" s="13">
        <f t="shared" si="11"/>
        <v>0</v>
      </c>
      <c r="W27" s="4">
        <f t="shared" si="12"/>
        <v>0</v>
      </c>
      <c r="X27" s="13">
        <f t="shared" si="13"/>
        <v>0</v>
      </c>
      <c r="Y27" s="4">
        <f t="shared" si="14"/>
        <v>0</v>
      </c>
    </row>
    <row r="28" spans="1:25">
      <c r="F28">
        <v>17</v>
      </c>
      <c r="G28" s="11">
        <f t="shared" si="15"/>
        <v>0</v>
      </c>
      <c r="H28" s="11">
        <f t="shared" si="1"/>
        <v>0</v>
      </c>
      <c r="I28" s="11">
        <f t="shared" si="16"/>
        <v>0</v>
      </c>
      <c r="J28" s="11">
        <f t="shared" si="17"/>
        <v>0</v>
      </c>
      <c r="K28" s="11">
        <f t="shared" si="18"/>
        <v>0</v>
      </c>
      <c r="M28">
        <v>17</v>
      </c>
      <c r="N28" s="13">
        <f t="shared" si="5"/>
        <v>0</v>
      </c>
      <c r="O28" s="13">
        <f t="shared" si="6"/>
        <v>0</v>
      </c>
      <c r="P28" s="13">
        <f t="shared" si="7"/>
        <v>0</v>
      </c>
      <c r="Q28" s="13">
        <f t="shared" si="8"/>
        <v>0</v>
      </c>
      <c r="R28" s="13">
        <f t="shared" si="9"/>
        <v>0</v>
      </c>
      <c r="T28">
        <v>17</v>
      </c>
      <c r="U28" s="4">
        <f t="shared" ref="U28:U42" si="19">Y27</f>
        <v>0</v>
      </c>
      <c r="V28" s="13">
        <f t="shared" si="11"/>
        <v>0</v>
      </c>
      <c r="W28" s="4">
        <f t="shared" ref="W28:W42" si="20">U28*$U$9</f>
        <v>0</v>
      </c>
      <c r="X28" s="13">
        <f t="shared" ref="X28:X42" si="21">V28-W28</f>
        <v>0</v>
      </c>
      <c r="Y28" s="4">
        <f t="shared" ref="Y28:Y42" si="22">U28-X28</f>
        <v>0</v>
      </c>
    </row>
    <row r="29" spans="1:25">
      <c r="F29">
        <v>18</v>
      </c>
      <c r="G29" s="11">
        <f t="shared" si="15"/>
        <v>0</v>
      </c>
      <c r="H29" s="11">
        <f t="shared" si="1"/>
        <v>0</v>
      </c>
      <c r="I29" s="11">
        <f t="shared" si="16"/>
        <v>0</v>
      </c>
      <c r="J29" s="11">
        <f t="shared" si="17"/>
        <v>0</v>
      </c>
      <c r="K29" s="11">
        <f t="shared" si="18"/>
        <v>0</v>
      </c>
      <c r="M29">
        <v>18</v>
      </c>
      <c r="N29" s="13">
        <f t="shared" si="5"/>
        <v>0</v>
      </c>
      <c r="O29" s="13">
        <f t="shared" si="6"/>
        <v>0</v>
      </c>
      <c r="P29" s="13">
        <f t="shared" si="7"/>
        <v>0</v>
      </c>
      <c r="Q29" s="13">
        <f t="shared" si="8"/>
        <v>0</v>
      </c>
      <c r="R29" s="13">
        <f t="shared" si="9"/>
        <v>0</v>
      </c>
      <c r="T29">
        <v>18</v>
      </c>
      <c r="U29" s="4">
        <f t="shared" si="19"/>
        <v>0</v>
      </c>
      <c r="V29" s="13">
        <f t="shared" si="11"/>
        <v>0</v>
      </c>
      <c r="W29" s="4">
        <f t="shared" si="20"/>
        <v>0</v>
      </c>
      <c r="X29" s="13">
        <f t="shared" si="21"/>
        <v>0</v>
      </c>
      <c r="Y29" s="4">
        <f t="shared" si="22"/>
        <v>0</v>
      </c>
    </row>
    <row r="30" spans="1:25">
      <c r="F30">
        <v>19</v>
      </c>
      <c r="G30" s="11">
        <f t="shared" si="15"/>
        <v>0</v>
      </c>
      <c r="H30" s="11">
        <f t="shared" si="1"/>
        <v>0</v>
      </c>
      <c r="I30" s="11">
        <f t="shared" si="16"/>
        <v>0</v>
      </c>
      <c r="J30" s="11">
        <f t="shared" si="17"/>
        <v>0</v>
      </c>
      <c r="K30" s="11">
        <f t="shared" si="18"/>
        <v>0</v>
      </c>
      <c r="M30">
        <v>19</v>
      </c>
      <c r="N30" s="13">
        <f t="shared" si="5"/>
        <v>0</v>
      </c>
      <c r="O30" s="13">
        <f t="shared" si="6"/>
        <v>0</v>
      </c>
      <c r="P30" s="13">
        <f t="shared" si="7"/>
        <v>0</v>
      </c>
      <c r="Q30" s="13">
        <f t="shared" si="8"/>
        <v>0</v>
      </c>
      <c r="R30" s="13">
        <f t="shared" si="9"/>
        <v>0</v>
      </c>
      <c r="T30">
        <v>19</v>
      </c>
      <c r="U30" s="4">
        <f t="shared" si="19"/>
        <v>0</v>
      </c>
      <c r="V30" s="13">
        <f t="shared" si="11"/>
        <v>0</v>
      </c>
      <c r="W30" s="4">
        <f t="shared" si="20"/>
        <v>0</v>
      </c>
      <c r="X30" s="13">
        <f t="shared" si="21"/>
        <v>0</v>
      </c>
      <c r="Y30" s="4">
        <f t="shared" si="22"/>
        <v>0</v>
      </c>
    </row>
    <row r="31" spans="1:25">
      <c r="F31">
        <v>20</v>
      </c>
      <c r="G31" s="11">
        <f t="shared" si="15"/>
        <v>0</v>
      </c>
      <c r="H31" s="11">
        <f t="shared" si="1"/>
        <v>0</v>
      </c>
      <c r="I31" s="11">
        <f t="shared" si="16"/>
        <v>0</v>
      </c>
      <c r="J31" s="11">
        <f t="shared" si="17"/>
        <v>0</v>
      </c>
      <c r="K31" s="11">
        <f t="shared" si="18"/>
        <v>0</v>
      </c>
      <c r="M31">
        <v>20</v>
      </c>
      <c r="N31" s="13">
        <f t="shared" si="5"/>
        <v>0</v>
      </c>
      <c r="O31" s="13">
        <f t="shared" si="6"/>
        <v>0</v>
      </c>
      <c r="P31" s="13">
        <f t="shared" si="7"/>
        <v>0</v>
      </c>
      <c r="Q31" s="13">
        <f t="shared" si="8"/>
        <v>0</v>
      </c>
      <c r="R31" s="13">
        <f t="shared" si="9"/>
        <v>0</v>
      </c>
      <c r="T31">
        <v>20</v>
      </c>
      <c r="U31" s="4">
        <f t="shared" si="19"/>
        <v>0</v>
      </c>
      <c r="V31" s="13">
        <f t="shared" si="11"/>
        <v>0</v>
      </c>
      <c r="W31" s="4">
        <f t="shared" si="20"/>
        <v>0</v>
      </c>
      <c r="X31" s="13">
        <f t="shared" si="21"/>
        <v>0</v>
      </c>
      <c r="Y31" s="4">
        <f t="shared" si="22"/>
        <v>0</v>
      </c>
    </row>
    <row r="32" spans="1:25">
      <c r="F32">
        <v>21</v>
      </c>
      <c r="G32" s="11">
        <f t="shared" si="15"/>
        <v>0</v>
      </c>
      <c r="H32" s="11">
        <f t="shared" si="1"/>
        <v>0</v>
      </c>
      <c r="I32" s="11">
        <f t="shared" si="16"/>
        <v>0</v>
      </c>
      <c r="J32" s="11">
        <f t="shared" si="17"/>
        <v>0</v>
      </c>
      <c r="K32" s="11">
        <f t="shared" si="18"/>
        <v>0</v>
      </c>
      <c r="M32">
        <v>21</v>
      </c>
      <c r="N32" s="13">
        <f t="shared" si="5"/>
        <v>0</v>
      </c>
      <c r="O32" s="13">
        <f t="shared" si="6"/>
        <v>0</v>
      </c>
      <c r="P32" s="13">
        <f t="shared" si="7"/>
        <v>0</v>
      </c>
      <c r="Q32" s="13">
        <f t="shared" si="8"/>
        <v>0</v>
      </c>
      <c r="R32" s="13">
        <f t="shared" si="9"/>
        <v>0</v>
      </c>
      <c r="T32">
        <v>21</v>
      </c>
      <c r="U32" s="4">
        <f t="shared" si="19"/>
        <v>0</v>
      </c>
      <c r="V32" s="13">
        <f t="shared" si="11"/>
        <v>0</v>
      </c>
      <c r="W32" s="4">
        <f t="shared" si="20"/>
        <v>0</v>
      </c>
      <c r="X32" s="13">
        <f t="shared" si="21"/>
        <v>0</v>
      </c>
      <c r="Y32" s="4">
        <f t="shared" si="22"/>
        <v>0</v>
      </c>
    </row>
    <row r="33" spans="6:25">
      <c r="F33">
        <v>22</v>
      </c>
      <c r="G33" s="11">
        <f t="shared" si="15"/>
        <v>0</v>
      </c>
      <c r="H33" s="11">
        <f t="shared" si="1"/>
        <v>0</v>
      </c>
      <c r="I33" s="11">
        <f t="shared" si="16"/>
        <v>0</v>
      </c>
      <c r="J33" s="11">
        <f t="shared" si="17"/>
        <v>0</v>
      </c>
      <c r="K33" s="11">
        <f t="shared" si="18"/>
        <v>0</v>
      </c>
      <c r="M33">
        <v>22</v>
      </c>
      <c r="N33" s="13">
        <f t="shared" si="5"/>
        <v>0</v>
      </c>
      <c r="O33" s="13">
        <f t="shared" si="6"/>
        <v>0</v>
      </c>
      <c r="P33" s="13">
        <f t="shared" si="7"/>
        <v>0</v>
      </c>
      <c r="Q33" s="13">
        <f t="shared" si="8"/>
        <v>0</v>
      </c>
      <c r="R33" s="13">
        <f t="shared" si="9"/>
        <v>0</v>
      </c>
      <c r="T33">
        <v>22</v>
      </c>
      <c r="U33" s="4">
        <f t="shared" si="19"/>
        <v>0</v>
      </c>
      <c r="V33" s="13">
        <f t="shared" si="11"/>
        <v>0</v>
      </c>
      <c r="W33" s="4">
        <f t="shared" si="20"/>
        <v>0</v>
      </c>
      <c r="X33" s="13">
        <f t="shared" si="21"/>
        <v>0</v>
      </c>
      <c r="Y33" s="4">
        <f t="shared" si="22"/>
        <v>0</v>
      </c>
    </row>
    <row r="34" spans="6:25">
      <c r="F34">
        <v>23</v>
      </c>
      <c r="G34" s="11">
        <f t="shared" si="15"/>
        <v>0</v>
      </c>
      <c r="H34" s="11">
        <f t="shared" si="1"/>
        <v>0</v>
      </c>
      <c r="I34" s="11">
        <f t="shared" si="16"/>
        <v>0</v>
      </c>
      <c r="J34" s="11">
        <f t="shared" si="17"/>
        <v>0</v>
      </c>
      <c r="K34" s="11">
        <f t="shared" si="18"/>
        <v>0</v>
      </c>
      <c r="M34">
        <v>23</v>
      </c>
      <c r="N34" s="13">
        <f t="shared" si="5"/>
        <v>0</v>
      </c>
      <c r="O34" s="13">
        <f t="shared" si="6"/>
        <v>0</v>
      </c>
      <c r="P34" s="13">
        <f t="shared" si="7"/>
        <v>0</v>
      </c>
      <c r="Q34" s="13">
        <f t="shared" si="8"/>
        <v>0</v>
      </c>
      <c r="R34" s="13">
        <f t="shared" si="9"/>
        <v>0</v>
      </c>
      <c r="T34">
        <v>23</v>
      </c>
      <c r="U34" s="4">
        <f t="shared" si="19"/>
        <v>0</v>
      </c>
      <c r="V34" s="13">
        <f t="shared" si="11"/>
        <v>0</v>
      </c>
      <c r="W34" s="4">
        <f t="shared" si="20"/>
        <v>0</v>
      </c>
      <c r="X34" s="13">
        <f t="shared" si="21"/>
        <v>0</v>
      </c>
      <c r="Y34" s="4">
        <f t="shared" si="22"/>
        <v>0</v>
      </c>
    </row>
    <row r="35" spans="6:25">
      <c r="F35">
        <v>24</v>
      </c>
      <c r="G35" s="11">
        <f t="shared" si="15"/>
        <v>0</v>
      </c>
      <c r="H35" s="11">
        <f t="shared" si="1"/>
        <v>0</v>
      </c>
      <c r="I35" s="11">
        <f t="shared" si="16"/>
        <v>0</v>
      </c>
      <c r="J35" s="11">
        <f t="shared" si="17"/>
        <v>0</v>
      </c>
      <c r="K35" s="11">
        <f t="shared" si="18"/>
        <v>0</v>
      </c>
      <c r="M35">
        <v>24</v>
      </c>
      <c r="N35" s="13">
        <f t="shared" si="5"/>
        <v>0</v>
      </c>
      <c r="O35" s="13">
        <f t="shared" si="6"/>
        <v>0</v>
      </c>
      <c r="P35" s="13">
        <f t="shared" si="7"/>
        <v>0</v>
      </c>
      <c r="Q35" s="13">
        <f t="shared" si="8"/>
        <v>0</v>
      </c>
      <c r="R35" s="13">
        <f t="shared" si="9"/>
        <v>0</v>
      </c>
      <c r="T35">
        <v>24</v>
      </c>
      <c r="U35" s="4">
        <f t="shared" si="19"/>
        <v>0</v>
      </c>
      <c r="V35" s="13">
        <f t="shared" si="11"/>
        <v>0</v>
      </c>
      <c r="W35" s="4">
        <f t="shared" si="20"/>
        <v>0</v>
      </c>
      <c r="X35" s="13">
        <f t="shared" si="21"/>
        <v>0</v>
      </c>
      <c r="Y35" s="4">
        <f t="shared" si="22"/>
        <v>0</v>
      </c>
    </row>
    <row r="36" spans="6:25">
      <c r="F36">
        <v>25</v>
      </c>
      <c r="G36" s="11">
        <f t="shared" si="15"/>
        <v>0</v>
      </c>
      <c r="H36" s="11">
        <f t="shared" si="1"/>
        <v>0</v>
      </c>
      <c r="I36" s="11">
        <f t="shared" si="16"/>
        <v>0</v>
      </c>
      <c r="J36" s="11">
        <f t="shared" si="17"/>
        <v>0</v>
      </c>
      <c r="K36" s="11">
        <f t="shared" si="18"/>
        <v>0</v>
      </c>
      <c r="M36">
        <v>25</v>
      </c>
      <c r="N36" s="13">
        <f t="shared" si="5"/>
        <v>0</v>
      </c>
      <c r="O36" s="13">
        <f t="shared" si="6"/>
        <v>0</v>
      </c>
      <c r="P36" s="13">
        <f t="shared" si="7"/>
        <v>0</v>
      </c>
      <c r="Q36" s="13">
        <f t="shared" si="8"/>
        <v>0</v>
      </c>
      <c r="R36" s="13">
        <f t="shared" si="9"/>
        <v>0</v>
      </c>
      <c r="T36">
        <v>25</v>
      </c>
      <c r="U36" s="4">
        <f t="shared" si="19"/>
        <v>0</v>
      </c>
      <c r="V36" s="13">
        <f t="shared" si="11"/>
        <v>0</v>
      </c>
      <c r="W36" s="4">
        <f t="shared" si="20"/>
        <v>0</v>
      </c>
      <c r="X36" s="13">
        <f t="shared" si="21"/>
        <v>0</v>
      </c>
      <c r="Y36" s="4">
        <f t="shared" si="22"/>
        <v>0</v>
      </c>
    </row>
    <row r="37" spans="6:25">
      <c r="F37">
        <v>26</v>
      </c>
      <c r="G37" s="11">
        <f t="shared" si="15"/>
        <v>0</v>
      </c>
      <c r="H37" s="11">
        <f t="shared" si="1"/>
        <v>0</v>
      </c>
      <c r="I37" s="11">
        <f t="shared" si="16"/>
        <v>0</v>
      </c>
      <c r="J37" s="11">
        <f t="shared" si="17"/>
        <v>0</v>
      </c>
      <c r="K37" s="11">
        <f t="shared" si="18"/>
        <v>0</v>
      </c>
      <c r="M37">
        <v>26</v>
      </c>
      <c r="N37" s="13">
        <f t="shared" si="5"/>
        <v>0</v>
      </c>
      <c r="O37" s="13">
        <f t="shared" si="6"/>
        <v>0</v>
      </c>
      <c r="P37" s="13">
        <f t="shared" si="7"/>
        <v>0</v>
      </c>
      <c r="Q37" s="13">
        <f t="shared" si="8"/>
        <v>0</v>
      </c>
      <c r="R37" s="13">
        <f t="shared" si="9"/>
        <v>0</v>
      </c>
      <c r="T37">
        <v>26</v>
      </c>
      <c r="U37" s="4">
        <f t="shared" si="19"/>
        <v>0</v>
      </c>
      <c r="V37" s="13">
        <f t="shared" si="11"/>
        <v>0</v>
      </c>
      <c r="W37" s="4">
        <f t="shared" si="20"/>
        <v>0</v>
      </c>
      <c r="X37" s="13">
        <f t="shared" si="21"/>
        <v>0</v>
      </c>
      <c r="Y37" s="4">
        <f t="shared" si="22"/>
        <v>0</v>
      </c>
    </row>
    <row r="38" spans="6:25">
      <c r="F38">
        <v>27</v>
      </c>
      <c r="G38" s="11">
        <f t="shared" si="15"/>
        <v>0</v>
      </c>
      <c r="H38" s="11">
        <f t="shared" si="1"/>
        <v>0</v>
      </c>
      <c r="I38" s="11">
        <f t="shared" si="16"/>
        <v>0</v>
      </c>
      <c r="J38" s="11">
        <f t="shared" si="17"/>
        <v>0</v>
      </c>
      <c r="K38" s="11">
        <f t="shared" si="18"/>
        <v>0</v>
      </c>
      <c r="M38">
        <v>27</v>
      </c>
      <c r="N38" s="13">
        <f t="shared" si="5"/>
        <v>0</v>
      </c>
      <c r="O38" s="13">
        <f t="shared" si="6"/>
        <v>0</v>
      </c>
      <c r="P38" s="13">
        <f t="shared" si="7"/>
        <v>0</v>
      </c>
      <c r="Q38" s="13">
        <f t="shared" si="8"/>
        <v>0</v>
      </c>
      <c r="R38" s="13">
        <f t="shared" si="9"/>
        <v>0</v>
      </c>
      <c r="T38">
        <v>27</v>
      </c>
      <c r="U38" s="4">
        <f t="shared" si="19"/>
        <v>0</v>
      </c>
      <c r="V38" s="13">
        <f t="shared" si="11"/>
        <v>0</v>
      </c>
      <c r="W38" s="4">
        <f t="shared" si="20"/>
        <v>0</v>
      </c>
      <c r="X38" s="13">
        <f t="shared" si="21"/>
        <v>0</v>
      </c>
      <c r="Y38" s="4">
        <f t="shared" si="22"/>
        <v>0</v>
      </c>
    </row>
    <row r="39" spans="6:25">
      <c r="F39">
        <v>28</v>
      </c>
      <c r="G39" s="11">
        <f t="shared" si="15"/>
        <v>0</v>
      </c>
      <c r="H39" s="11">
        <f t="shared" si="1"/>
        <v>0</v>
      </c>
      <c r="I39" s="11">
        <f t="shared" si="16"/>
        <v>0</v>
      </c>
      <c r="J39" s="11">
        <f t="shared" si="17"/>
        <v>0</v>
      </c>
      <c r="K39" s="11">
        <f t="shared" si="18"/>
        <v>0</v>
      </c>
      <c r="M39">
        <v>28</v>
      </c>
      <c r="N39" s="13">
        <f t="shared" si="5"/>
        <v>0</v>
      </c>
      <c r="O39" s="13">
        <f t="shared" si="6"/>
        <v>0</v>
      </c>
      <c r="P39" s="13">
        <f t="shared" si="7"/>
        <v>0</v>
      </c>
      <c r="Q39" s="13">
        <f t="shared" si="8"/>
        <v>0</v>
      </c>
      <c r="R39" s="13">
        <f t="shared" si="9"/>
        <v>0</v>
      </c>
      <c r="T39">
        <v>28</v>
      </c>
      <c r="U39" s="4">
        <f t="shared" si="19"/>
        <v>0</v>
      </c>
      <c r="V39" s="13">
        <f t="shared" si="11"/>
        <v>0</v>
      </c>
      <c r="W39" s="4">
        <f t="shared" si="20"/>
        <v>0</v>
      </c>
      <c r="X39" s="13">
        <f t="shared" si="21"/>
        <v>0</v>
      </c>
      <c r="Y39" s="4">
        <f t="shared" si="22"/>
        <v>0</v>
      </c>
    </row>
    <row r="40" spans="6:25">
      <c r="F40">
        <v>29</v>
      </c>
      <c r="G40" s="11">
        <f t="shared" si="15"/>
        <v>0</v>
      </c>
      <c r="H40" s="11">
        <f t="shared" si="1"/>
        <v>0</v>
      </c>
      <c r="I40" s="11">
        <f t="shared" si="16"/>
        <v>0</v>
      </c>
      <c r="J40" s="11">
        <f t="shared" si="17"/>
        <v>0</v>
      </c>
      <c r="K40" s="11">
        <f t="shared" si="18"/>
        <v>0</v>
      </c>
      <c r="M40">
        <v>29</v>
      </c>
      <c r="N40" s="13">
        <f t="shared" si="5"/>
        <v>0</v>
      </c>
      <c r="O40" s="13">
        <f t="shared" si="6"/>
        <v>0</v>
      </c>
      <c r="P40" s="13">
        <f t="shared" si="7"/>
        <v>0</v>
      </c>
      <c r="Q40" s="13">
        <f t="shared" si="8"/>
        <v>0</v>
      </c>
      <c r="R40" s="13">
        <f t="shared" si="9"/>
        <v>0</v>
      </c>
      <c r="T40">
        <v>29</v>
      </c>
      <c r="U40" s="4">
        <f t="shared" si="19"/>
        <v>0</v>
      </c>
      <c r="V40" s="13">
        <f t="shared" si="11"/>
        <v>0</v>
      </c>
      <c r="W40" s="4">
        <f t="shared" si="20"/>
        <v>0</v>
      </c>
      <c r="X40" s="13">
        <f t="shared" si="21"/>
        <v>0</v>
      </c>
      <c r="Y40" s="4">
        <f t="shared" si="22"/>
        <v>0</v>
      </c>
    </row>
    <row r="41" spans="6:25">
      <c r="F41">
        <v>30</v>
      </c>
      <c r="G41" s="11">
        <f t="shared" si="15"/>
        <v>0</v>
      </c>
      <c r="H41" s="11">
        <f t="shared" si="1"/>
        <v>0</v>
      </c>
      <c r="I41" s="11">
        <f t="shared" si="16"/>
        <v>0</v>
      </c>
      <c r="J41" s="11">
        <f t="shared" si="17"/>
        <v>0</v>
      </c>
      <c r="K41" s="11">
        <f t="shared" si="18"/>
        <v>0</v>
      </c>
      <c r="M41">
        <v>30</v>
      </c>
      <c r="N41" s="13">
        <f t="shared" si="5"/>
        <v>0</v>
      </c>
      <c r="O41" s="13">
        <f t="shared" si="6"/>
        <v>0</v>
      </c>
      <c r="P41" s="13">
        <f t="shared" si="7"/>
        <v>0</v>
      </c>
      <c r="Q41" s="13">
        <f t="shared" si="8"/>
        <v>0</v>
      </c>
      <c r="R41" s="13">
        <f t="shared" si="9"/>
        <v>0</v>
      </c>
      <c r="T41">
        <v>30</v>
      </c>
      <c r="U41" s="4">
        <f t="shared" si="19"/>
        <v>0</v>
      </c>
      <c r="V41" s="13">
        <f t="shared" si="11"/>
        <v>0</v>
      </c>
      <c r="W41" s="4">
        <f t="shared" si="20"/>
        <v>0</v>
      </c>
      <c r="X41" s="13">
        <f t="shared" si="21"/>
        <v>0</v>
      </c>
      <c r="Y41" s="4">
        <f t="shared" si="22"/>
        <v>0</v>
      </c>
    </row>
    <row r="42" spans="6:25">
      <c r="F42">
        <v>31</v>
      </c>
      <c r="G42" s="11">
        <f t="shared" si="15"/>
        <v>0</v>
      </c>
      <c r="H42" s="11">
        <f t="shared" si="1"/>
        <v>0</v>
      </c>
      <c r="I42" s="11">
        <f t="shared" si="16"/>
        <v>0</v>
      </c>
      <c r="J42" s="11">
        <f t="shared" si="17"/>
        <v>0</v>
      </c>
      <c r="K42" s="11">
        <f t="shared" si="18"/>
        <v>0</v>
      </c>
      <c r="M42">
        <v>31</v>
      </c>
      <c r="N42" s="13">
        <f t="shared" si="5"/>
        <v>0</v>
      </c>
      <c r="O42" s="13">
        <f t="shared" si="6"/>
        <v>0</v>
      </c>
      <c r="P42" s="13">
        <f t="shared" si="7"/>
        <v>0</v>
      </c>
      <c r="Q42" s="13">
        <f t="shared" si="8"/>
        <v>0</v>
      </c>
      <c r="R42" s="13">
        <f t="shared" si="9"/>
        <v>0</v>
      </c>
      <c r="T42">
        <v>31</v>
      </c>
      <c r="U42" s="4">
        <f t="shared" si="19"/>
        <v>0</v>
      </c>
      <c r="V42" s="13">
        <f t="shared" si="11"/>
        <v>0</v>
      </c>
      <c r="W42" s="4">
        <f t="shared" si="20"/>
        <v>0</v>
      </c>
      <c r="X42" s="13">
        <f t="shared" si="21"/>
        <v>0</v>
      </c>
      <c r="Y42" s="4">
        <f t="shared" si="22"/>
        <v>0</v>
      </c>
    </row>
    <row r="43" spans="6:25">
      <c r="F43">
        <v>32</v>
      </c>
      <c r="G43" s="11">
        <f t="shared" si="15"/>
        <v>0</v>
      </c>
      <c r="H43" s="11">
        <f t="shared" si="1"/>
        <v>0</v>
      </c>
      <c r="I43" s="11">
        <f t="shared" si="16"/>
        <v>0</v>
      </c>
      <c r="J43" s="11">
        <f t="shared" si="17"/>
        <v>0</v>
      </c>
      <c r="K43" s="11">
        <f t="shared" si="18"/>
        <v>0</v>
      </c>
      <c r="M43">
        <v>32</v>
      </c>
      <c r="N43" s="13">
        <f t="shared" si="5"/>
        <v>0</v>
      </c>
      <c r="O43" s="13">
        <f t="shared" si="6"/>
        <v>0</v>
      </c>
      <c r="P43" s="13">
        <f t="shared" si="7"/>
        <v>0</v>
      </c>
      <c r="Q43" s="13">
        <f t="shared" si="8"/>
        <v>0</v>
      </c>
      <c r="R43" s="13">
        <f t="shared" si="9"/>
        <v>0</v>
      </c>
      <c r="T43">
        <v>32</v>
      </c>
      <c r="U43" s="4">
        <f>Y42</f>
        <v>0</v>
      </c>
      <c r="V43" s="13">
        <f>$U$10</f>
        <v>0</v>
      </c>
      <c r="W43" s="4">
        <f>U43*$U$9</f>
        <v>0</v>
      </c>
      <c r="X43" s="13">
        <f>V43-W43</f>
        <v>0</v>
      </c>
      <c r="Y43" s="4">
        <f>U43-X43</f>
        <v>0</v>
      </c>
    </row>
    <row r="44" spans="6:25">
      <c r="F44">
        <v>33</v>
      </c>
      <c r="G44" s="11">
        <f t="shared" si="15"/>
        <v>0</v>
      </c>
      <c r="H44" s="11">
        <f t="shared" si="1"/>
        <v>0</v>
      </c>
      <c r="I44" s="11">
        <f t="shared" si="16"/>
        <v>0</v>
      </c>
      <c r="J44" s="11">
        <f t="shared" si="17"/>
        <v>0</v>
      </c>
      <c r="K44" s="11">
        <f t="shared" si="18"/>
        <v>0</v>
      </c>
      <c r="M44">
        <v>33</v>
      </c>
      <c r="N44" s="13">
        <f t="shared" si="5"/>
        <v>0</v>
      </c>
      <c r="O44" s="13">
        <f t="shared" si="6"/>
        <v>0</v>
      </c>
      <c r="P44" s="13">
        <f t="shared" si="7"/>
        <v>0</v>
      </c>
      <c r="Q44" s="13">
        <f t="shared" si="8"/>
        <v>0</v>
      </c>
      <c r="R44" s="13">
        <f t="shared" si="9"/>
        <v>0</v>
      </c>
      <c r="T44">
        <v>33</v>
      </c>
      <c r="U44" s="4">
        <f t="shared" ref="U44:U56" si="23">Y43</f>
        <v>0</v>
      </c>
      <c r="V44" s="13">
        <f t="shared" si="11"/>
        <v>0</v>
      </c>
      <c r="W44" s="4">
        <f t="shared" ref="W44:W56" si="24">U44*$U$9</f>
        <v>0</v>
      </c>
      <c r="X44" s="13">
        <f t="shared" ref="X44:X56" si="25">V44-W44</f>
        <v>0</v>
      </c>
      <c r="Y44" s="4">
        <f t="shared" ref="Y44:Y56" si="26">U44-X44</f>
        <v>0</v>
      </c>
    </row>
    <row r="45" spans="6:25">
      <c r="F45">
        <v>34</v>
      </c>
      <c r="G45" s="11">
        <f t="shared" ref="G45:G103" si="27">K44</f>
        <v>0</v>
      </c>
      <c r="H45" s="11">
        <f t="shared" si="1"/>
        <v>0</v>
      </c>
      <c r="I45" s="11">
        <f t="shared" ref="I45:I103" si="28">G45*$H$9</f>
        <v>0</v>
      </c>
      <c r="J45" s="11">
        <f t="shared" ref="J45:J103" si="29">H45-I45</f>
        <v>0</v>
      </c>
      <c r="K45" s="11">
        <f t="shared" ref="K45:K103" si="30">G45-J45</f>
        <v>0</v>
      </c>
      <c r="M45">
        <v>34</v>
      </c>
      <c r="N45" s="13">
        <f t="shared" si="5"/>
        <v>0</v>
      </c>
      <c r="O45" s="13">
        <f t="shared" si="6"/>
        <v>0</v>
      </c>
      <c r="P45" s="13">
        <f t="shared" si="7"/>
        <v>0</v>
      </c>
      <c r="Q45" s="13">
        <f t="shared" si="8"/>
        <v>0</v>
      </c>
      <c r="R45" s="13">
        <f t="shared" si="9"/>
        <v>0</v>
      </c>
      <c r="T45">
        <v>34</v>
      </c>
      <c r="U45" s="4">
        <f t="shared" si="23"/>
        <v>0</v>
      </c>
      <c r="V45" s="13">
        <f t="shared" si="11"/>
        <v>0</v>
      </c>
      <c r="W45" s="4">
        <f t="shared" si="24"/>
        <v>0</v>
      </c>
      <c r="X45" s="13">
        <f t="shared" si="25"/>
        <v>0</v>
      </c>
      <c r="Y45" s="4">
        <f t="shared" si="26"/>
        <v>0</v>
      </c>
    </row>
    <row r="46" spans="6:25">
      <c r="F46">
        <v>35</v>
      </c>
      <c r="G46" s="11">
        <f t="shared" si="27"/>
        <v>0</v>
      </c>
      <c r="H46" s="11">
        <f t="shared" si="1"/>
        <v>0</v>
      </c>
      <c r="I46" s="11">
        <f t="shared" si="28"/>
        <v>0</v>
      </c>
      <c r="J46" s="11">
        <f t="shared" si="29"/>
        <v>0</v>
      </c>
      <c r="K46" s="11">
        <f t="shared" si="30"/>
        <v>0</v>
      </c>
      <c r="M46">
        <v>35</v>
      </c>
      <c r="N46" s="13">
        <f t="shared" si="5"/>
        <v>0</v>
      </c>
      <c r="O46" s="13">
        <f t="shared" si="6"/>
        <v>0</v>
      </c>
      <c r="P46" s="13">
        <f t="shared" si="7"/>
        <v>0</v>
      </c>
      <c r="Q46" s="13">
        <f t="shared" si="8"/>
        <v>0</v>
      </c>
      <c r="R46" s="13">
        <f t="shared" si="9"/>
        <v>0</v>
      </c>
      <c r="T46">
        <v>35</v>
      </c>
      <c r="U46" s="4">
        <f t="shared" si="23"/>
        <v>0</v>
      </c>
      <c r="V46" s="13">
        <f t="shared" si="11"/>
        <v>0</v>
      </c>
      <c r="W46" s="4">
        <f t="shared" si="24"/>
        <v>0</v>
      </c>
      <c r="X46" s="13">
        <f t="shared" si="25"/>
        <v>0</v>
      </c>
      <c r="Y46" s="4">
        <f t="shared" si="26"/>
        <v>0</v>
      </c>
    </row>
    <row r="47" spans="6:25">
      <c r="F47">
        <v>36</v>
      </c>
      <c r="G47" s="11">
        <f t="shared" si="27"/>
        <v>0</v>
      </c>
      <c r="H47" s="11">
        <f t="shared" si="1"/>
        <v>0</v>
      </c>
      <c r="I47" s="11">
        <f t="shared" si="28"/>
        <v>0</v>
      </c>
      <c r="J47" s="11">
        <f t="shared" si="29"/>
        <v>0</v>
      </c>
      <c r="K47" s="11">
        <f t="shared" si="30"/>
        <v>0</v>
      </c>
      <c r="M47">
        <v>36</v>
      </c>
      <c r="N47" s="13">
        <f t="shared" si="5"/>
        <v>0</v>
      </c>
      <c r="O47" s="13">
        <f t="shared" si="6"/>
        <v>0</v>
      </c>
      <c r="P47" s="13">
        <f t="shared" si="7"/>
        <v>0</v>
      </c>
      <c r="Q47" s="13">
        <f t="shared" si="8"/>
        <v>0</v>
      </c>
      <c r="R47" s="13">
        <f t="shared" si="9"/>
        <v>0</v>
      </c>
      <c r="T47">
        <v>36</v>
      </c>
      <c r="U47" s="4">
        <f t="shared" si="23"/>
        <v>0</v>
      </c>
      <c r="V47" s="13">
        <f t="shared" si="11"/>
        <v>0</v>
      </c>
      <c r="W47" s="4">
        <f t="shared" si="24"/>
        <v>0</v>
      </c>
      <c r="X47" s="13">
        <f t="shared" si="25"/>
        <v>0</v>
      </c>
      <c r="Y47" s="4">
        <f t="shared" si="26"/>
        <v>0</v>
      </c>
    </row>
    <row r="48" spans="6:25">
      <c r="F48">
        <v>37</v>
      </c>
      <c r="G48" s="11">
        <f t="shared" si="27"/>
        <v>0</v>
      </c>
      <c r="H48" s="11">
        <f t="shared" si="1"/>
        <v>0</v>
      </c>
      <c r="I48" s="11">
        <f t="shared" si="28"/>
        <v>0</v>
      </c>
      <c r="J48" s="11">
        <f t="shared" si="29"/>
        <v>0</v>
      </c>
      <c r="K48" s="11">
        <f t="shared" si="30"/>
        <v>0</v>
      </c>
      <c r="M48">
        <v>37</v>
      </c>
      <c r="N48" s="13">
        <f t="shared" si="5"/>
        <v>0</v>
      </c>
      <c r="O48" s="13">
        <f t="shared" si="6"/>
        <v>0</v>
      </c>
      <c r="P48" s="13">
        <f t="shared" si="7"/>
        <v>0</v>
      </c>
      <c r="Q48" s="13">
        <f t="shared" si="8"/>
        <v>0</v>
      </c>
      <c r="R48" s="13">
        <f t="shared" si="9"/>
        <v>0</v>
      </c>
      <c r="T48">
        <v>37</v>
      </c>
      <c r="U48" s="4">
        <f t="shared" si="23"/>
        <v>0</v>
      </c>
      <c r="V48" s="13">
        <f t="shared" si="11"/>
        <v>0</v>
      </c>
      <c r="W48" s="4">
        <f t="shared" si="24"/>
        <v>0</v>
      </c>
      <c r="X48" s="13">
        <f t="shared" si="25"/>
        <v>0</v>
      </c>
      <c r="Y48" s="4">
        <f t="shared" si="26"/>
        <v>0</v>
      </c>
    </row>
    <row r="49" spans="6:25">
      <c r="F49">
        <v>38</v>
      </c>
      <c r="G49" s="11">
        <f t="shared" si="27"/>
        <v>0</v>
      </c>
      <c r="H49" s="11">
        <f t="shared" si="1"/>
        <v>0</v>
      </c>
      <c r="I49" s="11">
        <f t="shared" si="28"/>
        <v>0</v>
      </c>
      <c r="J49" s="11">
        <f t="shared" si="29"/>
        <v>0</v>
      </c>
      <c r="K49" s="11">
        <f t="shared" si="30"/>
        <v>0</v>
      </c>
      <c r="M49">
        <v>38</v>
      </c>
      <c r="N49" s="13">
        <f t="shared" si="5"/>
        <v>0</v>
      </c>
      <c r="O49" s="13">
        <f t="shared" si="6"/>
        <v>0</v>
      </c>
      <c r="P49" s="13">
        <f t="shared" si="7"/>
        <v>0</v>
      </c>
      <c r="Q49" s="13">
        <f t="shared" si="8"/>
        <v>0</v>
      </c>
      <c r="R49" s="13">
        <f t="shared" si="9"/>
        <v>0</v>
      </c>
      <c r="T49">
        <v>38</v>
      </c>
      <c r="U49" s="4">
        <f t="shared" si="23"/>
        <v>0</v>
      </c>
      <c r="V49" s="13">
        <f t="shared" si="11"/>
        <v>0</v>
      </c>
      <c r="W49" s="4">
        <f t="shared" si="24"/>
        <v>0</v>
      </c>
      <c r="X49" s="13">
        <f t="shared" si="25"/>
        <v>0</v>
      </c>
      <c r="Y49" s="4">
        <f t="shared" si="26"/>
        <v>0</v>
      </c>
    </row>
    <row r="50" spans="6:25">
      <c r="F50">
        <v>39</v>
      </c>
      <c r="G50" s="11">
        <f t="shared" si="27"/>
        <v>0</v>
      </c>
      <c r="H50" s="11">
        <f t="shared" si="1"/>
        <v>0</v>
      </c>
      <c r="I50" s="11">
        <f t="shared" si="28"/>
        <v>0</v>
      </c>
      <c r="J50" s="11">
        <f t="shared" si="29"/>
        <v>0</v>
      </c>
      <c r="K50" s="11">
        <f t="shared" si="30"/>
        <v>0</v>
      </c>
      <c r="M50">
        <v>39</v>
      </c>
      <c r="N50" s="13">
        <f t="shared" si="5"/>
        <v>0</v>
      </c>
      <c r="O50" s="13">
        <f t="shared" si="6"/>
        <v>0</v>
      </c>
      <c r="P50" s="13">
        <f t="shared" si="7"/>
        <v>0</v>
      </c>
      <c r="Q50" s="13">
        <f t="shared" si="8"/>
        <v>0</v>
      </c>
      <c r="R50" s="13">
        <f t="shared" si="9"/>
        <v>0</v>
      </c>
      <c r="T50">
        <v>39</v>
      </c>
      <c r="U50" s="4">
        <f t="shared" si="23"/>
        <v>0</v>
      </c>
      <c r="V50" s="13">
        <f t="shared" si="11"/>
        <v>0</v>
      </c>
      <c r="W50" s="4">
        <f t="shared" si="24"/>
        <v>0</v>
      </c>
      <c r="X50" s="13">
        <f t="shared" si="25"/>
        <v>0</v>
      </c>
      <c r="Y50" s="4">
        <f t="shared" si="26"/>
        <v>0</v>
      </c>
    </row>
    <row r="51" spans="6:25">
      <c r="F51">
        <v>40</v>
      </c>
      <c r="G51" s="11">
        <f t="shared" si="27"/>
        <v>0</v>
      </c>
      <c r="H51" s="11">
        <f t="shared" si="1"/>
        <v>0</v>
      </c>
      <c r="I51" s="11">
        <f t="shared" si="28"/>
        <v>0</v>
      </c>
      <c r="J51" s="11">
        <f t="shared" si="29"/>
        <v>0</v>
      </c>
      <c r="K51" s="11">
        <f t="shared" si="30"/>
        <v>0</v>
      </c>
      <c r="M51">
        <v>40</v>
      </c>
      <c r="N51" s="13">
        <f t="shared" si="5"/>
        <v>0</v>
      </c>
      <c r="O51" s="13">
        <f t="shared" si="6"/>
        <v>0</v>
      </c>
      <c r="P51" s="13">
        <f t="shared" si="7"/>
        <v>0</v>
      </c>
      <c r="Q51" s="13">
        <f t="shared" si="8"/>
        <v>0</v>
      </c>
      <c r="R51" s="13">
        <f t="shared" si="9"/>
        <v>0</v>
      </c>
      <c r="T51">
        <v>40</v>
      </c>
      <c r="U51" s="4">
        <f t="shared" si="23"/>
        <v>0</v>
      </c>
      <c r="V51" s="13">
        <f t="shared" si="11"/>
        <v>0</v>
      </c>
      <c r="W51" s="4">
        <f t="shared" si="24"/>
        <v>0</v>
      </c>
      <c r="X51" s="13">
        <f t="shared" si="25"/>
        <v>0</v>
      </c>
      <c r="Y51" s="4">
        <f t="shared" si="26"/>
        <v>0</v>
      </c>
    </row>
    <row r="52" spans="6:25">
      <c r="F52">
        <v>41</v>
      </c>
      <c r="G52" s="11">
        <f t="shared" si="27"/>
        <v>0</v>
      </c>
      <c r="H52" s="11">
        <f t="shared" si="1"/>
        <v>0</v>
      </c>
      <c r="I52" s="11">
        <f t="shared" si="28"/>
        <v>0</v>
      </c>
      <c r="J52" s="11">
        <f t="shared" si="29"/>
        <v>0</v>
      </c>
      <c r="K52" s="11">
        <f t="shared" si="30"/>
        <v>0</v>
      </c>
      <c r="M52">
        <v>41</v>
      </c>
      <c r="N52" s="13">
        <f t="shared" si="5"/>
        <v>0</v>
      </c>
      <c r="O52" s="13">
        <f t="shared" si="6"/>
        <v>0</v>
      </c>
      <c r="P52" s="13">
        <f t="shared" si="7"/>
        <v>0</v>
      </c>
      <c r="Q52" s="13">
        <f t="shared" si="8"/>
        <v>0</v>
      </c>
      <c r="R52" s="13">
        <f t="shared" si="9"/>
        <v>0</v>
      </c>
      <c r="T52">
        <v>41</v>
      </c>
      <c r="U52" s="4">
        <f t="shared" si="23"/>
        <v>0</v>
      </c>
      <c r="V52" s="13">
        <f t="shared" si="11"/>
        <v>0</v>
      </c>
      <c r="W52" s="4">
        <f t="shared" si="24"/>
        <v>0</v>
      </c>
      <c r="X52" s="13">
        <f t="shared" si="25"/>
        <v>0</v>
      </c>
      <c r="Y52" s="4">
        <f t="shared" si="26"/>
        <v>0</v>
      </c>
    </row>
    <row r="53" spans="6:25">
      <c r="F53">
        <v>42</v>
      </c>
      <c r="G53" s="11">
        <f t="shared" si="27"/>
        <v>0</v>
      </c>
      <c r="H53" s="11">
        <f t="shared" si="1"/>
        <v>0</v>
      </c>
      <c r="I53" s="11">
        <f t="shared" si="28"/>
        <v>0</v>
      </c>
      <c r="J53" s="11">
        <f t="shared" si="29"/>
        <v>0</v>
      </c>
      <c r="K53" s="11">
        <f t="shared" si="30"/>
        <v>0</v>
      </c>
      <c r="M53">
        <v>42</v>
      </c>
      <c r="N53" s="13">
        <f t="shared" si="5"/>
        <v>0</v>
      </c>
      <c r="O53" s="13">
        <f t="shared" si="6"/>
        <v>0</v>
      </c>
      <c r="P53" s="13">
        <f t="shared" si="7"/>
        <v>0</v>
      </c>
      <c r="Q53" s="13">
        <f t="shared" si="8"/>
        <v>0</v>
      </c>
      <c r="R53" s="13">
        <f t="shared" si="9"/>
        <v>0</v>
      </c>
      <c r="T53">
        <v>42</v>
      </c>
      <c r="U53" s="4">
        <f t="shared" si="23"/>
        <v>0</v>
      </c>
      <c r="V53" s="13">
        <f t="shared" si="11"/>
        <v>0</v>
      </c>
      <c r="W53" s="4">
        <f t="shared" si="24"/>
        <v>0</v>
      </c>
      <c r="X53" s="13">
        <f t="shared" si="25"/>
        <v>0</v>
      </c>
      <c r="Y53" s="4">
        <f t="shared" si="26"/>
        <v>0</v>
      </c>
    </row>
    <row r="54" spans="6:25">
      <c r="F54">
        <v>43</v>
      </c>
      <c r="G54" s="11">
        <f t="shared" si="27"/>
        <v>0</v>
      </c>
      <c r="H54" s="11">
        <f t="shared" si="1"/>
        <v>0</v>
      </c>
      <c r="I54" s="11">
        <f t="shared" si="28"/>
        <v>0</v>
      </c>
      <c r="J54" s="11">
        <f t="shared" si="29"/>
        <v>0</v>
      </c>
      <c r="K54" s="11">
        <f t="shared" si="30"/>
        <v>0</v>
      </c>
      <c r="M54">
        <v>43</v>
      </c>
      <c r="N54" s="13">
        <f t="shared" si="5"/>
        <v>0</v>
      </c>
      <c r="O54" s="13">
        <f t="shared" si="6"/>
        <v>0</v>
      </c>
      <c r="P54" s="13">
        <f t="shared" si="7"/>
        <v>0</v>
      </c>
      <c r="Q54" s="13">
        <f t="shared" si="8"/>
        <v>0</v>
      </c>
      <c r="R54" s="13">
        <f t="shared" si="9"/>
        <v>0</v>
      </c>
      <c r="T54">
        <v>43</v>
      </c>
      <c r="U54" s="4">
        <f t="shared" si="23"/>
        <v>0</v>
      </c>
      <c r="V54" s="13">
        <f t="shared" si="11"/>
        <v>0</v>
      </c>
      <c r="W54" s="4">
        <f t="shared" si="24"/>
        <v>0</v>
      </c>
      <c r="X54" s="13">
        <f t="shared" si="25"/>
        <v>0</v>
      </c>
      <c r="Y54" s="4">
        <f t="shared" si="26"/>
        <v>0</v>
      </c>
    </row>
    <row r="55" spans="6:25">
      <c r="F55">
        <v>44</v>
      </c>
      <c r="G55" s="11">
        <f t="shared" si="27"/>
        <v>0</v>
      </c>
      <c r="H55" s="11">
        <f t="shared" si="1"/>
        <v>0</v>
      </c>
      <c r="I55" s="11">
        <f t="shared" si="28"/>
        <v>0</v>
      </c>
      <c r="J55" s="11">
        <f t="shared" si="29"/>
        <v>0</v>
      </c>
      <c r="K55" s="11">
        <f t="shared" si="30"/>
        <v>0</v>
      </c>
      <c r="M55">
        <v>44</v>
      </c>
      <c r="N55" s="13">
        <f t="shared" si="5"/>
        <v>0</v>
      </c>
      <c r="O55" s="13">
        <f t="shared" si="6"/>
        <v>0</v>
      </c>
      <c r="P55" s="13">
        <f t="shared" si="7"/>
        <v>0</v>
      </c>
      <c r="Q55" s="13">
        <f t="shared" si="8"/>
        <v>0</v>
      </c>
      <c r="R55" s="13">
        <f t="shared" si="9"/>
        <v>0</v>
      </c>
      <c r="T55">
        <v>44</v>
      </c>
      <c r="U55" s="4">
        <f t="shared" si="23"/>
        <v>0</v>
      </c>
      <c r="V55" s="13">
        <f t="shared" si="11"/>
        <v>0</v>
      </c>
      <c r="W55" s="4">
        <f t="shared" si="24"/>
        <v>0</v>
      </c>
      <c r="X55" s="13">
        <f t="shared" si="25"/>
        <v>0</v>
      </c>
      <c r="Y55" s="4">
        <f t="shared" si="26"/>
        <v>0</v>
      </c>
    </row>
    <row r="56" spans="6:25">
      <c r="F56">
        <v>45</v>
      </c>
      <c r="G56" s="11">
        <f t="shared" si="27"/>
        <v>0</v>
      </c>
      <c r="H56" s="11">
        <f t="shared" si="1"/>
        <v>0</v>
      </c>
      <c r="I56" s="11">
        <f t="shared" si="28"/>
        <v>0</v>
      </c>
      <c r="J56" s="11">
        <f t="shared" si="29"/>
        <v>0</v>
      </c>
      <c r="K56" s="11">
        <f t="shared" si="30"/>
        <v>0</v>
      </c>
      <c r="M56">
        <v>45</v>
      </c>
      <c r="N56" s="13">
        <f t="shared" si="5"/>
        <v>0</v>
      </c>
      <c r="O56" s="13">
        <f t="shared" si="6"/>
        <v>0</v>
      </c>
      <c r="P56" s="13">
        <f t="shared" si="7"/>
        <v>0</v>
      </c>
      <c r="Q56" s="13">
        <f t="shared" si="8"/>
        <v>0</v>
      </c>
      <c r="R56" s="13">
        <f t="shared" si="9"/>
        <v>0</v>
      </c>
      <c r="T56">
        <v>45</v>
      </c>
      <c r="U56" s="4">
        <f t="shared" si="23"/>
        <v>0</v>
      </c>
      <c r="V56" s="13">
        <f t="shared" si="11"/>
        <v>0</v>
      </c>
      <c r="W56" s="4">
        <f t="shared" si="24"/>
        <v>0</v>
      </c>
      <c r="X56" s="13">
        <f t="shared" si="25"/>
        <v>0</v>
      </c>
      <c r="Y56" s="4">
        <f t="shared" si="26"/>
        <v>0</v>
      </c>
    </row>
    <row r="57" spans="6:25">
      <c r="F57">
        <v>46</v>
      </c>
      <c r="G57" s="11">
        <f t="shared" si="27"/>
        <v>0</v>
      </c>
      <c r="H57" s="11">
        <f t="shared" si="1"/>
        <v>0</v>
      </c>
      <c r="I57" s="11">
        <f t="shared" si="28"/>
        <v>0</v>
      </c>
      <c r="J57" s="11">
        <f t="shared" si="29"/>
        <v>0</v>
      </c>
      <c r="K57" s="11">
        <f t="shared" si="30"/>
        <v>0</v>
      </c>
      <c r="M57">
        <v>46</v>
      </c>
      <c r="N57" s="13">
        <f t="shared" si="5"/>
        <v>0</v>
      </c>
      <c r="O57" s="13">
        <f t="shared" si="6"/>
        <v>0</v>
      </c>
      <c r="P57" s="13">
        <f t="shared" si="7"/>
        <v>0</v>
      </c>
      <c r="Q57" s="13">
        <f t="shared" si="8"/>
        <v>0</v>
      </c>
      <c r="R57" s="13">
        <f t="shared" si="9"/>
        <v>0</v>
      </c>
      <c r="T57">
        <v>46</v>
      </c>
      <c r="U57" s="4">
        <f>Y56</f>
        <v>0</v>
      </c>
      <c r="V57" s="13">
        <f>$U$10</f>
        <v>0</v>
      </c>
      <c r="W57" s="4">
        <f>U57*$U$9</f>
        <v>0</v>
      </c>
      <c r="X57" s="13">
        <f>V57-W57</f>
        <v>0</v>
      </c>
      <c r="Y57" s="4">
        <f>U57-X57</f>
        <v>0</v>
      </c>
    </row>
    <row r="58" spans="6:25">
      <c r="F58">
        <v>47</v>
      </c>
      <c r="G58" s="11">
        <f t="shared" si="27"/>
        <v>0</v>
      </c>
      <c r="H58" s="11">
        <f t="shared" si="1"/>
        <v>0</v>
      </c>
      <c r="I58" s="11">
        <f t="shared" si="28"/>
        <v>0</v>
      </c>
      <c r="J58" s="11">
        <f t="shared" si="29"/>
        <v>0</v>
      </c>
      <c r="K58" s="11">
        <f t="shared" si="30"/>
        <v>0</v>
      </c>
      <c r="M58">
        <v>47</v>
      </c>
      <c r="N58" s="13">
        <f t="shared" si="5"/>
        <v>0</v>
      </c>
      <c r="O58" s="13">
        <f t="shared" si="6"/>
        <v>0</v>
      </c>
      <c r="P58" s="13">
        <f t="shared" si="7"/>
        <v>0</v>
      </c>
      <c r="Q58" s="13">
        <f t="shared" si="8"/>
        <v>0</v>
      </c>
      <c r="R58" s="13">
        <f t="shared" si="9"/>
        <v>0</v>
      </c>
      <c r="T58">
        <v>47</v>
      </c>
      <c r="U58" s="4">
        <f t="shared" ref="U58:U72" si="31">Y57</f>
        <v>0</v>
      </c>
      <c r="V58" s="13">
        <f t="shared" si="11"/>
        <v>0</v>
      </c>
      <c r="W58" s="4">
        <f t="shared" ref="W58:W72" si="32">U58*$U$9</f>
        <v>0</v>
      </c>
      <c r="X58" s="13">
        <f t="shared" ref="X58:X72" si="33">V58-W58</f>
        <v>0</v>
      </c>
      <c r="Y58" s="4">
        <f t="shared" ref="Y58:Y72" si="34">U58-X58</f>
        <v>0</v>
      </c>
    </row>
    <row r="59" spans="6:25">
      <c r="F59">
        <v>48</v>
      </c>
      <c r="G59" s="11">
        <f t="shared" si="27"/>
        <v>0</v>
      </c>
      <c r="H59" s="11">
        <f t="shared" si="1"/>
        <v>0</v>
      </c>
      <c r="I59" s="11">
        <f t="shared" si="28"/>
        <v>0</v>
      </c>
      <c r="J59" s="11">
        <f t="shared" si="29"/>
        <v>0</v>
      </c>
      <c r="K59" s="11">
        <f t="shared" si="30"/>
        <v>0</v>
      </c>
      <c r="M59">
        <v>48</v>
      </c>
      <c r="N59" s="13">
        <f t="shared" si="5"/>
        <v>0</v>
      </c>
      <c r="O59" s="13">
        <f t="shared" si="6"/>
        <v>0</v>
      </c>
      <c r="P59" s="13">
        <f t="shared" si="7"/>
        <v>0</v>
      </c>
      <c r="Q59" s="13">
        <f t="shared" si="8"/>
        <v>0</v>
      </c>
      <c r="R59" s="13">
        <f t="shared" si="9"/>
        <v>0</v>
      </c>
      <c r="T59">
        <v>48</v>
      </c>
      <c r="U59" s="4">
        <f t="shared" si="31"/>
        <v>0</v>
      </c>
      <c r="V59" s="13">
        <f t="shared" si="11"/>
        <v>0</v>
      </c>
      <c r="W59" s="4">
        <f t="shared" si="32"/>
        <v>0</v>
      </c>
      <c r="X59" s="13">
        <f t="shared" si="33"/>
        <v>0</v>
      </c>
      <c r="Y59" s="4">
        <f t="shared" si="34"/>
        <v>0</v>
      </c>
    </row>
    <row r="60" spans="6:25">
      <c r="F60">
        <v>49</v>
      </c>
      <c r="G60" s="11">
        <f t="shared" si="27"/>
        <v>0</v>
      </c>
      <c r="H60" s="11">
        <f t="shared" si="1"/>
        <v>0</v>
      </c>
      <c r="I60" s="11">
        <f t="shared" si="28"/>
        <v>0</v>
      </c>
      <c r="J60" s="11">
        <f t="shared" si="29"/>
        <v>0</v>
      </c>
      <c r="K60" s="11">
        <f t="shared" si="30"/>
        <v>0</v>
      </c>
      <c r="M60">
        <v>49</v>
      </c>
      <c r="N60" s="13">
        <f t="shared" si="5"/>
        <v>0</v>
      </c>
      <c r="O60" s="13">
        <f t="shared" si="6"/>
        <v>0</v>
      </c>
      <c r="P60" s="13">
        <f t="shared" si="7"/>
        <v>0</v>
      </c>
      <c r="Q60" s="13">
        <f t="shared" si="8"/>
        <v>0</v>
      </c>
      <c r="R60" s="13">
        <f t="shared" si="9"/>
        <v>0</v>
      </c>
      <c r="T60">
        <v>49</v>
      </c>
      <c r="U60" s="4">
        <f t="shared" si="31"/>
        <v>0</v>
      </c>
      <c r="V60" s="13">
        <f t="shared" si="11"/>
        <v>0</v>
      </c>
      <c r="W60" s="4">
        <f t="shared" si="32"/>
        <v>0</v>
      </c>
      <c r="X60" s="13">
        <f t="shared" si="33"/>
        <v>0</v>
      </c>
      <c r="Y60" s="4">
        <f t="shared" si="34"/>
        <v>0</v>
      </c>
    </row>
    <row r="61" spans="6:25">
      <c r="F61">
        <v>50</v>
      </c>
      <c r="G61" s="11">
        <f t="shared" si="27"/>
        <v>0</v>
      </c>
      <c r="H61" s="11">
        <f t="shared" si="1"/>
        <v>0</v>
      </c>
      <c r="I61" s="11">
        <f t="shared" si="28"/>
        <v>0</v>
      </c>
      <c r="J61" s="11">
        <f t="shared" si="29"/>
        <v>0</v>
      </c>
      <c r="K61" s="11">
        <f t="shared" si="30"/>
        <v>0</v>
      </c>
      <c r="M61">
        <v>50</v>
      </c>
      <c r="N61" s="13">
        <f t="shared" si="5"/>
        <v>0</v>
      </c>
      <c r="O61" s="13">
        <f t="shared" si="6"/>
        <v>0</v>
      </c>
      <c r="P61" s="13">
        <f t="shared" si="7"/>
        <v>0</v>
      </c>
      <c r="Q61" s="13">
        <f t="shared" si="8"/>
        <v>0</v>
      </c>
      <c r="R61" s="13">
        <f t="shared" si="9"/>
        <v>0</v>
      </c>
      <c r="T61">
        <v>50</v>
      </c>
      <c r="U61" s="4">
        <f t="shared" si="31"/>
        <v>0</v>
      </c>
      <c r="V61" s="13">
        <f t="shared" si="11"/>
        <v>0</v>
      </c>
      <c r="W61" s="4">
        <f t="shared" si="32"/>
        <v>0</v>
      </c>
      <c r="X61" s="13">
        <f t="shared" si="33"/>
        <v>0</v>
      </c>
      <c r="Y61" s="4">
        <f t="shared" si="34"/>
        <v>0</v>
      </c>
    </row>
    <row r="62" spans="6:25">
      <c r="F62">
        <v>51</v>
      </c>
      <c r="G62" s="11">
        <f t="shared" si="27"/>
        <v>0</v>
      </c>
      <c r="H62" s="11">
        <f t="shared" si="1"/>
        <v>0</v>
      </c>
      <c r="I62" s="11">
        <f t="shared" si="28"/>
        <v>0</v>
      </c>
      <c r="J62" s="11">
        <f t="shared" si="29"/>
        <v>0</v>
      </c>
      <c r="K62" s="11">
        <f t="shared" si="30"/>
        <v>0</v>
      </c>
      <c r="M62">
        <v>51</v>
      </c>
      <c r="N62" s="13">
        <f t="shared" si="5"/>
        <v>0</v>
      </c>
      <c r="O62" s="13">
        <f t="shared" si="6"/>
        <v>0</v>
      </c>
      <c r="P62" s="13">
        <f t="shared" si="7"/>
        <v>0</v>
      </c>
      <c r="Q62" s="13">
        <f t="shared" si="8"/>
        <v>0</v>
      </c>
      <c r="R62" s="13">
        <f t="shared" si="9"/>
        <v>0</v>
      </c>
      <c r="T62">
        <v>51</v>
      </c>
      <c r="U62" s="4">
        <f t="shared" si="31"/>
        <v>0</v>
      </c>
      <c r="V62" s="13">
        <f t="shared" si="11"/>
        <v>0</v>
      </c>
      <c r="W62" s="4">
        <f t="shared" si="32"/>
        <v>0</v>
      </c>
      <c r="X62" s="13">
        <f t="shared" si="33"/>
        <v>0</v>
      </c>
      <c r="Y62" s="4">
        <f t="shared" si="34"/>
        <v>0</v>
      </c>
    </row>
    <row r="63" spans="6:25">
      <c r="F63">
        <v>52</v>
      </c>
      <c r="G63" s="11">
        <f t="shared" si="27"/>
        <v>0</v>
      </c>
      <c r="H63" s="11">
        <f t="shared" si="1"/>
        <v>0</v>
      </c>
      <c r="I63" s="11">
        <f t="shared" si="28"/>
        <v>0</v>
      </c>
      <c r="J63" s="11">
        <f t="shared" si="29"/>
        <v>0</v>
      </c>
      <c r="K63" s="11">
        <f t="shared" si="30"/>
        <v>0</v>
      </c>
      <c r="M63">
        <v>52</v>
      </c>
      <c r="N63" s="13">
        <f t="shared" si="5"/>
        <v>0</v>
      </c>
      <c r="O63" s="13">
        <f t="shared" si="6"/>
        <v>0</v>
      </c>
      <c r="P63" s="13">
        <f t="shared" si="7"/>
        <v>0</v>
      </c>
      <c r="Q63" s="13">
        <f t="shared" si="8"/>
        <v>0</v>
      </c>
      <c r="R63" s="13">
        <f t="shared" si="9"/>
        <v>0</v>
      </c>
      <c r="T63">
        <v>52</v>
      </c>
      <c r="U63" s="4">
        <f t="shared" si="31"/>
        <v>0</v>
      </c>
      <c r="V63" s="13">
        <f t="shared" si="11"/>
        <v>0</v>
      </c>
      <c r="W63" s="4">
        <f t="shared" si="32"/>
        <v>0</v>
      </c>
      <c r="X63" s="13">
        <f t="shared" si="33"/>
        <v>0</v>
      </c>
      <c r="Y63" s="4">
        <f t="shared" si="34"/>
        <v>0</v>
      </c>
    </row>
    <row r="64" spans="6:25">
      <c r="F64">
        <v>53</v>
      </c>
      <c r="G64" s="11">
        <f t="shared" si="27"/>
        <v>0</v>
      </c>
      <c r="H64" s="11">
        <f t="shared" si="1"/>
        <v>0</v>
      </c>
      <c r="I64" s="11">
        <f t="shared" si="28"/>
        <v>0</v>
      </c>
      <c r="J64" s="11">
        <f t="shared" si="29"/>
        <v>0</v>
      </c>
      <c r="K64" s="11">
        <f t="shared" si="30"/>
        <v>0</v>
      </c>
      <c r="M64">
        <v>53</v>
      </c>
      <c r="N64" s="13">
        <f t="shared" si="5"/>
        <v>0</v>
      </c>
      <c r="O64" s="13">
        <f t="shared" si="6"/>
        <v>0</v>
      </c>
      <c r="P64" s="13">
        <f t="shared" si="7"/>
        <v>0</v>
      </c>
      <c r="Q64" s="13">
        <f t="shared" si="8"/>
        <v>0</v>
      </c>
      <c r="R64" s="13">
        <f t="shared" si="9"/>
        <v>0</v>
      </c>
      <c r="T64">
        <v>53</v>
      </c>
      <c r="U64" s="4">
        <f t="shared" si="31"/>
        <v>0</v>
      </c>
      <c r="V64" s="13">
        <f t="shared" si="11"/>
        <v>0</v>
      </c>
      <c r="W64" s="4">
        <f t="shared" si="32"/>
        <v>0</v>
      </c>
      <c r="X64" s="13">
        <f t="shared" si="33"/>
        <v>0</v>
      </c>
      <c r="Y64" s="4">
        <f t="shared" si="34"/>
        <v>0</v>
      </c>
    </row>
    <row r="65" spans="6:25">
      <c r="F65">
        <v>54</v>
      </c>
      <c r="G65" s="11">
        <f t="shared" si="27"/>
        <v>0</v>
      </c>
      <c r="H65" s="11">
        <f t="shared" si="1"/>
        <v>0</v>
      </c>
      <c r="I65" s="11">
        <f t="shared" si="28"/>
        <v>0</v>
      </c>
      <c r="J65" s="11">
        <f t="shared" si="29"/>
        <v>0</v>
      </c>
      <c r="K65" s="11">
        <f t="shared" si="30"/>
        <v>0</v>
      </c>
      <c r="M65">
        <v>54</v>
      </c>
      <c r="N65" s="13">
        <f t="shared" si="5"/>
        <v>0</v>
      </c>
      <c r="O65" s="13">
        <f t="shared" si="6"/>
        <v>0</v>
      </c>
      <c r="P65" s="13">
        <f t="shared" si="7"/>
        <v>0</v>
      </c>
      <c r="Q65" s="13">
        <f t="shared" si="8"/>
        <v>0</v>
      </c>
      <c r="R65" s="13">
        <f t="shared" si="9"/>
        <v>0</v>
      </c>
      <c r="T65">
        <v>54</v>
      </c>
      <c r="U65" s="4">
        <f t="shared" si="31"/>
        <v>0</v>
      </c>
      <c r="V65" s="13">
        <f t="shared" si="11"/>
        <v>0</v>
      </c>
      <c r="W65" s="4">
        <f t="shared" si="32"/>
        <v>0</v>
      </c>
      <c r="X65" s="13">
        <f t="shared" si="33"/>
        <v>0</v>
      </c>
      <c r="Y65" s="4">
        <f t="shared" si="34"/>
        <v>0</v>
      </c>
    </row>
    <row r="66" spans="6:25">
      <c r="F66">
        <v>55</v>
      </c>
      <c r="G66" s="11">
        <f t="shared" si="27"/>
        <v>0</v>
      </c>
      <c r="H66" s="11">
        <f t="shared" si="1"/>
        <v>0</v>
      </c>
      <c r="I66" s="11">
        <f t="shared" si="28"/>
        <v>0</v>
      </c>
      <c r="J66" s="11">
        <f t="shared" si="29"/>
        <v>0</v>
      </c>
      <c r="K66" s="11">
        <f t="shared" si="30"/>
        <v>0</v>
      </c>
      <c r="M66">
        <v>55</v>
      </c>
      <c r="N66" s="13">
        <f t="shared" si="5"/>
        <v>0</v>
      </c>
      <c r="O66" s="13">
        <f t="shared" si="6"/>
        <v>0</v>
      </c>
      <c r="P66" s="13">
        <f t="shared" si="7"/>
        <v>0</v>
      </c>
      <c r="Q66" s="13">
        <f t="shared" si="8"/>
        <v>0</v>
      </c>
      <c r="R66" s="13">
        <f t="shared" si="9"/>
        <v>0</v>
      </c>
      <c r="T66">
        <v>55</v>
      </c>
      <c r="U66" s="4">
        <f t="shared" si="31"/>
        <v>0</v>
      </c>
      <c r="V66" s="13">
        <f t="shared" si="11"/>
        <v>0</v>
      </c>
      <c r="W66" s="4">
        <f t="shared" si="32"/>
        <v>0</v>
      </c>
      <c r="X66" s="13">
        <f t="shared" si="33"/>
        <v>0</v>
      </c>
      <c r="Y66" s="4">
        <f t="shared" si="34"/>
        <v>0</v>
      </c>
    </row>
    <row r="67" spans="6:25">
      <c r="F67">
        <v>56</v>
      </c>
      <c r="G67" s="11">
        <f t="shared" si="27"/>
        <v>0</v>
      </c>
      <c r="H67" s="11">
        <f t="shared" si="1"/>
        <v>0</v>
      </c>
      <c r="I67" s="11">
        <f t="shared" si="28"/>
        <v>0</v>
      </c>
      <c r="J67" s="11">
        <f t="shared" si="29"/>
        <v>0</v>
      </c>
      <c r="K67" s="11">
        <f t="shared" si="30"/>
        <v>0</v>
      </c>
      <c r="M67">
        <v>56</v>
      </c>
      <c r="N67" s="13">
        <f t="shared" si="5"/>
        <v>0</v>
      </c>
      <c r="O67" s="13">
        <f t="shared" si="6"/>
        <v>0</v>
      </c>
      <c r="P67" s="13">
        <f t="shared" si="7"/>
        <v>0</v>
      </c>
      <c r="Q67" s="13">
        <f t="shared" si="8"/>
        <v>0</v>
      </c>
      <c r="R67" s="13">
        <f t="shared" si="9"/>
        <v>0</v>
      </c>
      <c r="T67">
        <v>56</v>
      </c>
      <c r="U67" s="4">
        <f t="shared" si="31"/>
        <v>0</v>
      </c>
      <c r="V67" s="13">
        <f t="shared" si="11"/>
        <v>0</v>
      </c>
      <c r="W67" s="4">
        <f t="shared" si="32"/>
        <v>0</v>
      </c>
      <c r="X67" s="13">
        <f t="shared" si="33"/>
        <v>0</v>
      </c>
      <c r="Y67" s="4">
        <f t="shared" si="34"/>
        <v>0</v>
      </c>
    </row>
    <row r="68" spans="6:25">
      <c r="F68">
        <v>57</v>
      </c>
      <c r="G68" s="11">
        <f t="shared" si="27"/>
        <v>0</v>
      </c>
      <c r="H68" s="11">
        <f t="shared" si="1"/>
        <v>0</v>
      </c>
      <c r="I68" s="11">
        <f t="shared" si="28"/>
        <v>0</v>
      </c>
      <c r="J68" s="11">
        <f t="shared" si="29"/>
        <v>0</v>
      </c>
      <c r="K68" s="11">
        <f t="shared" si="30"/>
        <v>0</v>
      </c>
      <c r="M68">
        <v>57</v>
      </c>
      <c r="N68" s="13">
        <f t="shared" si="5"/>
        <v>0</v>
      </c>
      <c r="O68" s="13">
        <f t="shared" si="6"/>
        <v>0</v>
      </c>
      <c r="P68" s="13">
        <f t="shared" si="7"/>
        <v>0</v>
      </c>
      <c r="Q68" s="13">
        <f t="shared" si="8"/>
        <v>0</v>
      </c>
      <c r="R68" s="13">
        <f t="shared" si="9"/>
        <v>0</v>
      </c>
      <c r="T68">
        <v>57</v>
      </c>
      <c r="U68" s="4">
        <f t="shared" si="31"/>
        <v>0</v>
      </c>
      <c r="V68" s="13">
        <f t="shared" si="11"/>
        <v>0</v>
      </c>
      <c r="W68" s="4">
        <f t="shared" si="32"/>
        <v>0</v>
      </c>
      <c r="X68" s="13">
        <f t="shared" si="33"/>
        <v>0</v>
      </c>
      <c r="Y68" s="4">
        <f t="shared" si="34"/>
        <v>0</v>
      </c>
    </row>
    <row r="69" spans="6:25">
      <c r="F69">
        <v>58</v>
      </c>
      <c r="G69" s="11">
        <f t="shared" si="27"/>
        <v>0</v>
      </c>
      <c r="H69" s="11">
        <f t="shared" si="1"/>
        <v>0</v>
      </c>
      <c r="I69" s="11">
        <f t="shared" si="28"/>
        <v>0</v>
      </c>
      <c r="J69" s="11">
        <f t="shared" si="29"/>
        <v>0</v>
      </c>
      <c r="K69" s="11">
        <f t="shared" si="30"/>
        <v>0</v>
      </c>
      <c r="M69">
        <v>58</v>
      </c>
      <c r="N69" s="13">
        <f t="shared" si="5"/>
        <v>0</v>
      </c>
      <c r="O69" s="13">
        <f t="shared" si="6"/>
        <v>0</v>
      </c>
      <c r="P69" s="13">
        <f t="shared" si="7"/>
        <v>0</v>
      </c>
      <c r="Q69" s="13">
        <f t="shared" si="8"/>
        <v>0</v>
      </c>
      <c r="R69" s="13">
        <f t="shared" si="9"/>
        <v>0</v>
      </c>
      <c r="T69">
        <v>58</v>
      </c>
      <c r="U69" s="4">
        <f t="shared" si="31"/>
        <v>0</v>
      </c>
      <c r="V69" s="13">
        <f t="shared" si="11"/>
        <v>0</v>
      </c>
      <c r="W69" s="4">
        <f t="shared" si="32"/>
        <v>0</v>
      </c>
      <c r="X69" s="13">
        <f t="shared" si="33"/>
        <v>0</v>
      </c>
      <c r="Y69" s="4">
        <f t="shared" si="34"/>
        <v>0</v>
      </c>
    </row>
    <row r="70" spans="6:25">
      <c r="F70">
        <v>59</v>
      </c>
      <c r="G70" s="11">
        <f t="shared" si="27"/>
        <v>0</v>
      </c>
      <c r="H70" s="11">
        <f t="shared" si="1"/>
        <v>0</v>
      </c>
      <c r="I70" s="11">
        <f t="shared" si="28"/>
        <v>0</v>
      </c>
      <c r="J70" s="11">
        <f t="shared" si="29"/>
        <v>0</v>
      </c>
      <c r="K70" s="11">
        <f t="shared" si="30"/>
        <v>0</v>
      </c>
      <c r="M70">
        <v>59</v>
      </c>
      <c r="N70" s="13">
        <f t="shared" si="5"/>
        <v>0</v>
      </c>
      <c r="O70" s="13">
        <f t="shared" si="6"/>
        <v>0</v>
      </c>
      <c r="P70" s="13">
        <f t="shared" si="7"/>
        <v>0</v>
      </c>
      <c r="Q70" s="13">
        <f t="shared" si="8"/>
        <v>0</v>
      </c>
      <c r="R70" s="13">
        <f t="shared" si="9"/>
        <v>0</v>
      </c>
      <c r="T70">
        <v>59</v>
      </c>
      <c r="U70" s="4">
        <f t="shared" si="31"/>
        <v>0</v>
      </c>
      <c r="V70" s="13">
        <f t="shared" si="11"/>
        <v>0</v>
      </c>
      <c r="W70" s="4">
        <f t="shared" si="32"/>
        <v>0</v>
      </c>
      <c r="X70" s="13">
        <f t="shared" si="33"/>
        <v>0</v>
      </c>
      <c r="Y70" s="4">
        <f t="shared" si="34"/>
        <v>0</v>
      </c>
    </row>
    <row r="71" spans="6:25">
      <c r="F71">
        <v>60</v>
      </c>
      <c r="G71" s="11">
        <f t="shared" si="27"/>
        <v>0</v>
      </c>
      <c r="H71" s="11">
        <f t="shared" si="1"/>
        <v>0</v>
      </c>
      <c r="I71" s="11">
        <f t="shared" si="28"/>
        <v>0</v>
      </c>
      <c r="J71" s="11">
        <f t="shared" si="29"/>
        <v>0</v>
      </c>
      <c r="K71" s="11">
        <f t="shared" si="30"/>
        <v>0</v>
      </c>
      <c r="M71">
        <v>60</v>
      </c>
      <c r="N71" s="13">
        <f t="shared" si="5"/>
        <v>0</v>
      </c>
      <c r="O71" s="13">
        <f t="shared" si="6"/>
        <v>0</v>
      </c>
      <c r="P71" s="13">
        <f t="shared" si="7"/>
        <v>0</v>
      </c>
      <c r="Q71" s="13">
        <f t="shared" si="8"/>
        <v>0</v>
      </c>
      <c r="R71" s="13">
        <f t="shared" si="9"/>
        <v>0</v>
      </c>
      <c r="T71">
        <v>60</v>
      </c>
      <c r="U71" s="4">
        <f t="shared" si="31"/>
        <v>0</v>
      </c>
      <c r="V71" s="13">
        <f t="shared" si="11"/>
        <v>0</v>
      </c>
      <c r="W71" s="4">
        <f t="shared" si="32"/>
        <v>0</v>
      </c>
      <c r="X71" s="13">
        <f t="shared" si="33"/>
        <v>0</v>
      </c>
      <c r="Y71" s="4">
        <f t="shared" si="34"/>
        <v>0</v>
      </c>
    </row>
    <row r="72" spans="6:25">
      <c r="F72">
        <v>61</v>
      </c>
      <c r="G72" s="11">
        <f t="shared" si="27"/>
        <v>0</v>
      </c>
      <c r="H72" s="11">
        <f t="shared" si="1"/>
        <v>0</v>
      </c>
      <c r="I72" s="11">
        <f t="shared" si="28"/>
        <v>0</v>
      </c>
      <c r="J72" s="11">
        <f t="shared" si="29"/>
        <v>0</v>
      </c>
      <c r="K72" s="11">
        <f t="shared" si="30"/>
        <v>0</v>
      </c>
      <c r="M72">
        <v>61</v>
      </c>
      <c r="N72" s="13">
        <f t="shared" si="5"/>
        <v>0</v>
      </c>
      <c r="O72" s="13">
        <f t="shared" si="6"/>
        <v>0</v>
      </c>
      <c r="P72" s="13">
        <f t="shared" si="7"/>
        <v>0</v>
      </c>
      <c r="Q72" s="13">
        <f t="shared" si="8"/>
        <v>0</v>
      </c>
      <c r="R72" s="13">
        <f t="shared" si="9"/>
        <v>0</v>
      </c>
      <c r="T72">
        <v>61</v>
      </c>
      <c r="U72" s="4">
        <f t="shared" si="31"/>
        <v>0</v>
      </c>
      <c r="V72" s="13">
        <f t="shared" si="11"/>
        <v>0</v>
      </c>
      <c r="W72" s="4">
        <f t="shared" si="32"/>
        <v>0</v>
      </c>
      <c r="X72" s="13">
        <f t="shared" si="33"/>
        <v>0</v>
      </c>
      <c r="Y72" s="4">
        <f t="shared" si="34"/>
        <v>0</v>
      </c>
    </row>
    <row r="73" spans="6:25">
      <c r="F73">
        <v>62</v>
      </c>
      <c r="G73" s="11">
        <f t="shared" si="27"/>
        <v>0</v>
      </c>
      <c r="H73" s="11">
        <f t="shared" si="1"/>
        <v>0</v>
      </c>
      <c r="I73" s="11">
        <f t="shared" si="28"/>
        <v>0</v>
      </c>
      <c r="J73" s="11">
        <f t="shared" si="29"/>
        <v>0</v>
      </c>
      <c r="K73" s="11">
        <f t="shared" si="30"/>
        <v>0</v>
      </c>
      <c r="M73">
        <v>62</v>
      </c>
      <c r="N73" s="13">
        <f t="shared" si="5"/>
        <v>0</v>
      </c>
      <c r="O73" s="13">
        <f t="shared" si="6"/>
        <v>0</v>
      </c>
      <c r="P73" s="13">
        <f t="shared" si="7"/>
        <v>0</v>
      </c>
      <c r="Q73" s="13">
        <f t="shared" si="8"/>
        <v>0</v>
      </c>
      <c r="R73" s="13">
        <f t="shared" si="9"/>
        <v>0</v>
      </c>
      <c r="T73">
        <v>62</v>
      </c>
      <c r="U73" s="4">
        <f>Y72</f>
        <v>0</v>
      </c>
      <c r="V73" s="13">
        <f>$U$10</f>
        <v>0</v>
      </c>
      <c r="W73" s="4">
        <f>U73*$U$9</f>
        <v>0</v>
      </c>
      <c r="X73" s="13">
        <f>V73-W73</f>
        <v>0</v>
      </c>
      <c r="Y73" s="4">
        <f>U73-X73</f>
        <v>0</v>
      </c>
    </row>
    <row r="74" spans="6:25">
      <c r="F74">
        <v>63</v>
      </c>
      <c r="G74" s="11">
        <f t="shared" si="27"/>
        <v>0</v>
      </c>
      <c r="H74" s="11">
        <f t="shared" si="1"/>
        <v>0</v>
      </c>
      <c r="I74" s="11">
        <f t="shared" si="28"/>
        <v>0</v>
      </c>
      <c r="J74" s="11">
        <f t="shared" si="29"/>
        <v>0</v>
      </c>
      <c r="K74" s="11">
        <f t="shared" si="30"/>
        <v>0</v>
      </c>
      <c r="M74">
        <v>63</v>
      </c>
      <c r="N74" s="13">
        <f t="shared" si="5"/>
        <v>0</v>
      </c>
      <c r="O74" s="13">
        <f t="shared" si="6"/>
        <v>0</v>
      </c>
      <c r="P74" s="13">
        <f t="shared" si="7"/>
        <v>0</v>
      </c>
      <c r="Q74" s="13">
        <f t="shared" si="8"/>
        <v>0</v>
      </c>
      <c r="R74" s="13">
        <f t="shared" si="9"/>
        <v>0</v>
      </c>
      <c r="T74">
        <v>63</v>
      </c>
      <c r="U74" s="4">
        <f t="shared" ref="U74:U96" si="35">Y73</f>
        <v>0</v>
      </c>
      <c r="V74" s="13">
        <f t="shared" si="11"/>
        <v>0</v>
      </c>
      <c r="W74" s="4">
        <f t="shared" ref="W74:W96" si="36">U74*$U$9</f>
        <v>0</v>
      </c>
      <c r="X74" s="13">
        <f t="shared" ref="X74:X96" si="37">V74-W74</f>
        <v>0</v>
      </c>
      <c r="Y74" s="4">
        <f t="shared" ref="Y74:Y96" si="38">U74-X74</f>
        <v>0</v>
      </c>
    </row>
    <row r="75" spans="6:25">
      <c r="F75">
        <v>64</v>
      </c>
      <c r="G75" s="11">
        <f t="shared" si="27"/>
        <v>0</v>
      </c>
      <c r="H75" s="11">
        <f t="shared" si="1"/>
        <v>0</v>
      </c>
      <c r="I75" s="11">
        <f t="shared" si="28"/>
        <v>0</v>
      </c>
      <c r="J75" s="11">
        <f t="shared" si="29"/>
        <v>0</v>
      </c>
      <c r="K75" s="11">
        <f t="shared" si="30"/>
        <v>0</v>
      </c>
      <c r="M75">
        <v>64</v>
      </c>
      <c r="N75" s="13">
        <f t="shared" si="5"/>
        <v>0</v>
      </c>
      <c r="O75" s="13">
        <f t="shared" si="6"/>
        <v>0</v>
      </c>
      <c r="P75" s="13">
        <f t="shared" si="7"/>
        <v>0</v>
      </c>
      <c r="Q75" s="13">
        <f t="shared" si="8"/>
        <v>0</v>
      </c>
      <c r="R75" s="13">
        <f t="shared" si="9"/>
        <v>0</v>
      </c>
      <c r="T75">
        <v>64</v>
      </c>
      <c r="U75" s="4">
        <f t="shared" si="35"/>
        <v>0</v>
      </c>
      <c r="V75" s="13">
        <f t="shared" si="11"/>
        <v>0</v>
      </c>
      <c r="W75" s="4">
        <f t="shared" si="36"/>
        <v>0</v>
      </c>
      <c r="X75" s="13">
        <f t="shared" si="37"/>
        <v>0</v>
      </c>
      <c r="Y75" s="4">
        <f t="shared" si="38"/>
        <v>0</v>
      </c>
    </row>
    <row r="76" spans="6:25">
      <c r="F76">
        <v>65</v>
      </c>
      <c r="G76" s="11">
        <f t="shared" si="27"/>
        <v>0</v>
      </c>
      <c r="H76" s="11">
        <f t="shared" si="1"/>
        <v>0</v>
      </c>
      <c r="I76" s="11">
        <f t="shared" si="28"/>
        <v>0</v>
      </c>
      <c r="J76" s="11">
        <f t="shared" si="29"/>
        <v>0</v>
      </c>
      <c r="K76" s="11">
        <f t="shared" si="30"/>
        <v>0</v>
      </c>
      <c r="M76">
        <v>65</v>
      </c>
      <c r="N76" s="13">
        <f t="shared" si="5"/>
        <v>0</v>
      </c>
      <c r="O76" s="13">
        <f t="shared" si="6"/>
        <v>0</v>
      </c>
      <c r="P76" s="13">
        <f t="shared" si="7"/>
        <v>0</v>
      </c>
      <c r="Q76" s="13">
        <f t="shared" si="8"/>
        <v>0</v>
      </c>
      <c r="R76" s="13">
        <f t="shared" si="9"/>
        <v>0</v>
      </c>
      <c r="T76">
        <v>65</v>
      </c>
      <c r="U76" s="4">
        <f t="shared" si="35"/>
        <v>0</v>
      </c>
      <c r="V76" s="13">
        <f t="shared" si="11"/>
        <v>0</v>
      </c>
      <c r="W76" s="4">
        <f t="shared" si="36"/>
        <v>0</v>
      </c>
      <c r="X76" s="13">
        <f t="shared" si="37"/>
        <v>0</v>
      </c>
      <c r="Y76" s="4">
        <f t="shared" si="38"/>
        <v>0</v>
      </c>
    </row>
    <row r="77" spans="6:25">
      <c r="F77">
        <v>66</v>
      </c>
      <c r="G77" s="11">
        <f t="shared" si="27"/>
        <v>0</v>
      </c>
      <c r="H77" s="11">
        <f t="shared" si="1"/>
        <v>0</v>
      </c>
      <c r="I77" s="11">
        <f t="shared" si="28"/>
        <v>0</v>
      </c>
      <c r="J77" s="11">
        <f t="shared" si="29"/>
        <v>0</v>
      </c>
      <c r="K77" s="11">
        <f t="shared" si="30"/>
        <v>0</v>
      </c>
      <c r="M77">
        <v>66</v>
      </c>
      <c r="N77" s="13">
        <f t="shared" si="5"/>
        <v>0</v>
      </c>
      <c r="O77" s="13">
        <f t="shared" si="6"/>
        <v>0</v>
      </c>
      <c r="P77" s="13">
        <f t="shared" si="7"/>
        <v>0</v>
      </c>
      <c r="Q77" s="13">
        <f t="shared" si="8"/>
        <v>0</v>
      </c>
      <c r="R77" s="13">
        <f t="shared" si="9"/>
        <v>0</v>
      </c>
      <c r="T77">
        <v>66</v>
      </c>
      <c r="U77" s="4">
        <f t="shared" si="35"/>
        <v>0</v>
      </c>
      <c r="V77" s="13">
        <f t="shared" si="11"/>
        <v>0</v>
      </c>
      <c r="W77" s="4">
        <f t="shared" si="36"/>
        <v>0</v>
      </c>
      <c r="X77" s="13">
        <f t="shared" si="37"/>
        <v>0</v>
      </c>
      <c r="Y77" s="4">
        <f t="shared" si="38"/>
        <v>0</v>
      </c>
    </row>
    <row r="78" spans="6:25">
      <c r="F78">
        <v>67</v>
      </c>
      <c r="G78" s="11">
        <f t="shared" si="27"/>
        <v>0</v>
      </c>
      <c r="H78" s="11">
        <f t="shared" ref="H78:H141" si="39">$H$10</f>
        <v>0</v>
      </c>
      <c r="I78" s="11">
        <f t="shared" si="28"/>
        <v>0</v>
      </c>
      <c r="J78" s="11">
        <f t="shared" si="29"/>
        <v>0</v>
      </c>
      <c r="K78" s="11">
        <f t="shared" si="30"/>
        <v>0</v>
      </c>
      <c r="M78">
        <v>67</v>
      </c>
      <c r="N78" s="13">
        <f t="shared" ref="N78:N91" si="40">R77</f>
        <v>0</v>
      </c>
      <c r="O78" s="13">
        <f t="shared" ref="O78:O91" si="41">$N$10</f>
        <v>0</v>
      </c>
      <c r="P78" s="13">
        <f t="shared" ref="P78:P91" si="42">N78*$N$9</f>
        <v>0</v>
      </c>
      <c r="Q78" s="13">
        <f t="shared" ref="Q78:Q91" si="43">O78-P78</f>
        <v>0</v>
      </c>
      <c r="R78" s="13">
        <f t="shared" ref="R78:R91" si="44">N78-Q78</f>
        <v>0</v>
      </c>
      <c r="T78">
        <v>67</v>
      </c>
      <c r="U78" s="4">
        <f t="shared" si="35"/>
        <v>0</v>
      </c>
      <c r="V78" s="13">
        <f t="shared" ref="V78:V96" si="45">$U$10</f>
        <v>0</v>
      </c>
      <c r="W78" s="4">
        <f t="shared" si="36"/>
        <v>0</v>
      </c>
      <c r="X78" s="13">
        <f t="shared" si="37"/>
        <v>0</v>
      </c>
      <c r="Y78" s="4">
        <f t="shared" si="38"/>
        <v>0</v>
      </c>
    </row>
    <row r="79" spans="6:25">
      <c r="F79">
        <v>68</v>
      </c>
      <c r="G79" s="11">
        <f t="shared" si="27"/>
        <v>0</v>
      </c>
      <c r="H79" s="11">
        <f t="shared" si="39"/>
        <v>0</v>
      </c>
      <c r="I79" s="11">
        <f t="shared" si="28"/>
        <v>0</v>
      </c>
      <c r="J79" s="11">
        <f t="shared" si="29"/>
        <v>0</v>
      </c>
      <c r="K79" s="11">
        <f t="shared" si="30"/>
        <v>0</v>
      </c>
      <c r="M79">
        <v>68</v>
      </c>
      <c r="N79" s="13">
        <f t="shared" si="40"/>
        <v>0</v>
      </c>
      <c r="O79" s="13">
        <f t="shared" si="41"/>
        <v>0</v>
      </c>
      <c r="P79" s="13">
        <f t="shared" si="42"/>
        <v>0</v>
      </c>
      <c r="Q79" s="13">
        <f t="shared" si="43"/>
        <v>0</v>
      </c>
      <c r="R79" s="13">
        <f t="shared" si="44"/>
        <v>0</v>
      </c>
      <c r="T79">
        <v>68</v>
      </c>
      <c r="U79" s="4">
        <f t="shared" si="35"/>
        <v>0</v>
      </c>
      <c r="V79" s="13">
        <f t="shared" si="45"/>
        <v>0</v>
      </c>
      <c r="W79" s="4">
        <f t="shared" si="36"/>
        <v>0</v>
      </c>
      <c r="X79" s="13">
        <f t="shared" si="37"/>
        <v>0</v>
      </c>
      <c r="Y79" s="4">
        <f t="shared" si="38"/>
        <v>0</v>
      </c>
    </row>
    <row r="80" spans="6:25">
      <c r="F80">
        <v>69</v>
      </c>
      <c r="G80" s="11">
        <f t="shared" si="27"/>
        <v>0</v>
      </c>
      <c r="H80" s="11">
        <f t="shared" si="39"/>
        <v>0</v>
      </c>
      <c r="I80" s="11">
        <f t="shared" si="28"/>
        <v>0</v>
      </c>
      <c r="J80" s="11">
        <f t="shared" si="29"/>
        <v>0</v>
      </c>
      <c r="K80" s="11">
        <f t="shared" si="30"/>
        <v>0</v>
      </c>
      <c r="M80">
        <v>69</v>
      </c>
      <c r="N80" s="13">
        <f t="shared" si="40"/>
        <v>0</v>
      </c>
      <c r="O80" s="13">
        <f t="shared" si="41"/>
        <v>0</v>
      </c>
      <c r="P80" s="13">
        <f t="shared" si="42"/>
        <v>0</v>
      </c>
      <c r="Q80" s="13">
        <f t="shared" si="43"/>
        <v>0</v>
      </c>
      <c r="R80" s="13">
        <f t="shared" si="44"/>
        <v>0</v>
      </c>
      <c r="T80">
        <v>69</v>
      </c>
      <c r="U80" s="4">
        <f t="shared" si="35"/>
        <v>0</v>
      </c>
      <c r="V80" s="13">
        <f t="shared" si="45"/>
        <v>0</v>
      </c>
      <c r="W80" s="4">
        <f t="shared" si="36"/>
        <v>0</v>
      </c>
      <c r="X80" s="13">
        <f t="shared" si="37"/>
        <v>0</v>
      </c>
      <c r="Y80" s="4">
        <f t="shared" si="38"/>
        <v>0</v>
      </c>
    </row>
    <row r="81" spans="6:25">
      <c r="F81">
        <v>70</v>
      </c>
      <c r="G81" s="11">
        <f t="shared" si="27"/>
        <v>0</v>
      </c>
      <c r="H81" s="11">
        <f t="shared" si="39"/>
        <v>0</v>
      </c>
      <c r="I81" s="11">
        <f t="shared" si="28"/>
        <v>0</v>
      </c>
      <c r="J81" s="11">
        <f t="shared" si="29"/>
        <v>0</v>
      </c>
      <c r="K81" s="11">
        <f t="shared" si="30"/>
        <v>0</v>
      </c>
      <c r="M81">
        <v>70</v>
      </c>
      <c r="N81" s="13">
        <f t="shared" si="40"/>
        <v>0</v>
      </c>
      <c r="O81" s="13">
        <f t="shared" si="41"/>
        <v>0</v>
      </c>
      <c r="P81" s="13">
        <f t="shared" si="42"/>
        <v>0</v>
      </c>
      <c r="Q81" s="13">
        <f t="shared" si="43"/>
        <v>0</v>
      </c>
      <c r="R81" s="13">
        <f t="shared" si="44"/>
        <v>0</v>
      </c>
      <c r="T81">
        <v>70</v>
      </c>
      <c r="U81" s="4">
        <f t="shared" si="35"/>
        <v>0</v>
      </c>
      <c r="V81" s="13">
        <f t="shared" si="45"/>
        <v>0</v>
      </c>
      <c r="W81" s="4">
        <f t="shared" si="36"/>
        <v>0</v>
      </c>
      <c r="X81" s="13">
        <f t="shared" si="37"/>
        <v>0</v>
      </c>
      <c r="Y81" s="4">
        <f t="shared" si="38"/>
        <v>0</v>
      </c>
    </row>
    <row r="82" spans="6:25">
      <c r="F82">
        <v>71</v>
      </c>
      <c r="G82" s="11">
        <f t="shared" si="27"/>
        <v>0</v>
      </c>
      <c r="H82" s="11">
        <f t="shared" si="39"/>
        <v>0</v>
      </c>
      <c r="I82" s="11">
        <f t="shared" si="28"/>
        <v>0</v>
      </c>
      <c r="J82" s="11">
        <f t="shared" si="29"/>
        <v>0</v>
      </c>
      <c r="K82" s="11">
        <f t="shared" si="30"/>
        <v>0</v>
      </c>
      <c r="M82">
        <v>71</v>
      </c>
      <c r="N82" s="13">
        <f t="shared" si="40"/>
        <v>0</v>
      </c>
      <c r="O82" s="13">
        <f t="shared" si="41"/>
        <v>0</v>
      </c>
      <c r="P82" s="13">
        <f t="shared" si="42"/>
        <v>0</v>
      </c>
      <c r="Q82" s="13">
        <f t="shared" si="43"/>
        <v>0</v>
      </c>
      <c r="R82" s="13">
        <f t="shared" si="44"/>
        <v>0</v>
      </c>
      <c r="T82">
        <v>71</v>
      </c>
      <c r="U82" s="4">
        <f t="shared" si="35"/>
        <v>0</v>
      </c>
      <c r="V82" s="13">
        <f t="shared" si="45"/>
        <v>0</v>
      </c>
      <c r="W82" s="4">
        <f t="shared" si="36"/>
        <v>0</v>
      </c>
      <c r="X82" s="13">
        <f t="shared" si="37"/>
        <v>0</v>
      </c>
      <c r="Y82" s="4">
        <f t="shared" si="38"/>
        <v>0</v>
      </c>
    </row>
    <row r="83" spans="6:25">
      <c r="F83">
        <v>72</v>
      </c>
      <c r="G83" s="11">
        <f t="shared" si="27"/>
        <v>0</v>
      </c>
      <c r="H83" s="11">
        <f t="shared" si="39"/>
        <v>0</v>
      </c>
      <c r="I83" s="11">
        <f t="shared" si="28"/>
        <v>0</v>
      </c>
      <c r="J83" s="11">
        <f t="shared" si="29"/>
        <v>0</v>
      </c>
      <c r="K83" s="11">
        <f t="shared" si="30"/>
        <v>0</v>
      </c>
      <c r="M83">
        <v>72</v>
      </c>
      <c r="N83" s="13">
        <f t="shared" si="40"/>
        <v>0</v>
      </c>
      <c r="O83" s="13">
        <f t="shared" si="41"/>
        <v>0</v>
      </c>
      <c r="P83" s="13">
        <f t="shared" si="42"/>
        <v>0</v>
      </c>
      <c r="Q83" s="13">
        <f t="shared" si="43"/>
        <v>0</v>
      </c>
      <c r="R83" s="13">
        <f t="shared" si="44"/>
        <v>0</v>
      </c>
      <c r="T83">
        <v>72</v>
      </c>
      <c r="U83" s="4">
        <f t="shared" si="35"/>
        <v>0</v>
      </c>
      <c r="V83" s="13">
        <f t="shared" si="45"/>
        <v>0</v>
      </c>
      <c r="W83" s="4">
        <f t="shared" si="36"/>
        <v>0</v>
      </c>
      <c r="X83" s="13">
        <f t="shared" si="37"/>
        <v>0</v>
      </c>
      <c r="Y83" s="4">
        <f t="shared" si="38"/>
        <v>0</v>
      </c>
    </row>
    <row r="84" spans="6:25">
      <c r="F84">
        <v>73</v>
      </c>
      <c r="G84" s="11">
        <f t="shared" si="27"/>
        <v>0</v>
      </c>
      <c r="H84" s="11">
        <f t="shared" si="39"/>
        <v>0</v>
      </c>
      <c r="I84" s="11">
        <f t="shared" si="28"/>
        <v>0</v>
      </c>
      <c r="J84" s="11">
        <f t="shared" si="29"/>
        <v>0</v>
      </c>
      <c r="K84" s="11">
        <f t="shared" si="30"/>
        <v>0</v>
      </c>
      <c r="M84">
        <v>73</v>
      </c>
      <c r="N84" s="13">
        <f t="shared" si="40"/>
        <v>0</v>
      </c>
      <c r="O84" s="13">
        <f t="shared" si="41"/>
        <v>0</v>
      </c>
      <c r="P84" s="13">
        <f t="shared" si="42"/>
        <v>0</v>
      </c>
      <c r="Q84" s="13">
        <f t="shared" si="43"/>
        <v>0</v>
      </c>
      <c r="R84" s="13">
        <f t="shared" si="44"/>
        <v>0</v>
      </c>
      <c r="T84">
        <v>73</v>
      </c>
      <c r="U84" s="4">
        <f t="shared" si="35"/>
        <v>0</v>
      </c>
      <c r="V84" s="13">
        <f t="shared" si="45"/>
        <v>0</v>
      </c>
      <c r="W84" s="4">
        <f t="shared" si="36"/>
        <v>0</v>
      </c>
      <c r="X84" s="13">
        <f t="shared" si="37"/>
        <v>0</v>
      </c>
      <c r="Y84" s="4">
        <f t="shared" si="38"/>
        <v>0</v>
      </c>
    </row>
    <row r="85" spans="6:25">
      <c r="F85">
        <v>74</v>
      </c>
      <c r="G85" s="11">
        <f t="shared" si="27"/>
        <v>0</v>
      </c>
      <c r="H85" s="11">
        <f t="shared" si="39"/>
        <v>0</v>
      </c>
      <c r="I85" s="11">
        <f t="shared" si="28"/>
        <v>0</v>
      </c>
      <c r="J85" s="11">
        <f t="shared" si="29"/>
        <v>0</v>
      </c>
      <c r="K85" s="11">
        <f t="shared" si="30"/>
        <v>0</v>
      </c>
      <c r="M85">
        <v>74</v>
      </c>
      <c r="N85" s="13">
        <f t="shared" si="40"/>
        <v>0</v>
      </c>
      <c r="O85" s="13">
        <f t="shared" si="41"/>
        <v>0</v>
      </c>
      <c r="P85" s="13">
        <f t="shared" si="42"/>
        <v>0</v>
      </c>
      <c r="Q85" s="13">
        <f t="shared" si="43"/>
        <v>0</v>
      </c>
      <c r="R85" s="13">
        <f t="shared" si="44"/>
        <v>0</v>
      </c>
      <c r="T85">
        <v>74</v>
      </c>
      <c r="U85" s="4">
        <f t="shared" si="35"/>
        <v>0</v>
      </c>
      <c r="V85" s="13">
        <f t="shared" si="45"/>
        <v>0</v>
      </c>
      <c r="W85" s="4">
        <f t="shared" si="36"/>
        <v>0</v>
      </c>
      <c r="X85" s="13">
        <f t="shared" si="37"/>
        <v>0</v>
      </c>
      <c r="Y85" s="4">
        <f t="shared" si="38"/>
        <v>0</v>
      </c>
    </row>
    <row r="86" spans="6:25">
      <c r="F86">
        <v>75</v>
      </c>
      <c r="G86" s="11">
        <f t="shared" si="27"/>
        <v>0</v>
      </c>
      <c r="H86" s="11">
        <f t="shared" si="39"/>
        <v>0</v>
      </c>
      <c r="I86" s="11">
        <f t="shared" si="28"/>
        <v>0</v>
      </c>
      <c r="J86" s="11">
        <f t="shared" si="29"/>
        <v>0</v>
      </c>
      <c r="K86" s="11">
        <f t="shared" si="30"/>
        <v>0</v>
      </c>
      <c r="M86">
        <v>75</v>
      </c>
      <c r="N86" s="13">
        <f t="shared" si="40"/>
        <v>0</v>
      </c>
      <c r="O86" s="13">
        <f t="shared" si="41"/>
        <v>0</v>
      </c>
      <c r="P86" s="13">
        <f t="shared" si="42"/>
        <v>0</v>
      </c>
      <c r="Q86" s="13">
        <f t="shared" si="43"/>
        <v>0</v>
      </c>
      <c r="R86" s="13">
        <f t="shared" si="44"/>
        <v>0</v>
      </c>
      <c r="T86">
        <v>75</v>
      </c>
      <c r="U86" s="4">
        <f t="shared" si="35"/>
        <v>0</v>
      </c>
      <c r="V86" s="13">
        <f t="shared" si="45"/>
        <v>0</v>
      </c>
      <c r="W86" s="4">
        <f t="shared" si="36"/>
        <v>0</v>
      </c>
      <c r="X86" s="13">
        <f t="shared" si="37"/>
        <v>0</v>
      </c>
      <c r="Y86" s="4">
        <f t="shared" si="38"/>
        <v>0</v>
      </c>
    </row>
    <row r="87" spans="6:25">
      <c r="F87">
        <v>76</v>
      </c>
      <c r="G87" s="11">
        <f t="shared" si="27"/>
        <v>0</v>
      </c>
      <c r="H87" s="11">
        <f t="shared" si="39"/>
        <v>0</v>
      </c>
      <c r="I87" s="11">
        <f t="shared" si="28"/>
        <v>0</v>
      </c>
      <c r="J87" s="11">
        <f t="shared" si="29"/>
        <v>0</v>
      </c>
      <c r="K87" s="11">
        <f t="shared" si="30"/>
        <v>0</v>
      </c>
      <c r="M87">
        <v>76</v>
      </c>
      <c r="N87" s="13">
        <f t="shared" si="40"/>
        <v>0</v>
      </c>
      <c r="O87" s="13">
        <f t="shared" si="41"/>
        <v>0</v>
      </c>
      <c r="P87" s="13">
        <f t="shared" si="42"/>
        <v>0</v>
      </c>
      <c r="Q87" s="13">
        <f t="shared" si="43"/>
        <v>0</v>
      </c>
      <c r="R87" s="13">
        <f t="shared" si="44"/>
        <v>0</v>
      </c>
      <c r="T87">
        <v>76</v>
      </c>
      <c r="U87" s="4">
        <f t="shared" si="35"/>
        <v>0</v>
      </c>
      <c r="V87" s="13">
        <f t="shared" si="45"/>
        <v>0</v>
      </c>
      <c r="W87" s="4">
        <f t="shared" si="36"/>
        <v>0</v>
      </c>
      <c r="X87" s="13">
        <f t="shared" si="37"/>
        <v>0</v>
      </c>
      <c r="Y87" s="4">
        <f t="shared" si="38"/>
        <v>0</v>
      </c>
    </row>
    <row r="88" spans="6:25">
      <c r="F88">
        <v>77</v>
      </c>
      <c r="G88" s="11">
        <f t="shared" si="27"/>
        <v>0</v>
      </c>
      <c r="H88" s="11">
        <f t="shared" si="39"/>
        <v>0</v>
      </c>
      <c r="I88" s="11">
        <f t="shared" si="28"/>
        <v>0</v>
      </c>
      <c r="J88" s="11">
        <f t="shared" si="29"/>
        <v>0</v>
      </c>
      <c r="K88" s="11">
        <f t="shared" si="30"/>
        <v>0</v>
      </c>
      <c r="M88">
        <v>77</v>
      </c>
      <c r="N88" s="13">
        <f t="shared" si="40"/>
        <v>0</v>
      </c>
      <c r="O88" s="13">
        <f t="shared" si="41"/>
        <v>0</v>
      </c>
      <c r="P88" s="13">
        <f t="shared" si="42"/>
        <v>0</v>
      </c>
      <c r="Q88" s="13">
        <f t="shared" si="43"/>
        <v>0</v>
      </c>
      <c r="R88" s="13">
        <f t="shared" si="44"/>
        <v>0</v>
      </c>
      <c r="T88">
        <v>77</v>
      </c>
      <c r="U88" s="4">
        <f t="shared" si="35"/>
        <v>0</v>
      </c>
      <c r="V88" s="13">
        <f t="shared" si="45"/>
        <v>0</v>
      </c>
      <c r="W88" s="4">
        <f t="shared" si="36"/>
        <v>0</v>
      </c>
      <c r="X88" s="13">
        <f t="shared" si="37"/>
        <v>0</v>
      </c>
      <c r="Y88" s="4">
        <f t="shared" si="38"/>
        <v>0</v>
      </c>
    </row>
    <row r="89" spans="6:25">
      <c r="F89">
        <v>78</v>
      </c>
      <c r="G89" s="11">
        <f t="shared" si="27"/>
        <v>0</v>
      </c>
      <c r="H89" s="11">
        <f t="shared" si="39"/>
        <v>0</v>
      </c>
      <c r="I89" s="11">
        <f t="shared" si="28"/>
        <v>0</v>
      </c>
      <c r="J89" s="11">
        <f t="shared" si="29"/>
        <v>0</v>
      </c>
      <c r="K89" s="11">
        <f t="shared" si="30"/>
        <v>0</v>
      </c>
      <c r="M89">
        <v>78</v>
      </c>
      <c r="N89" s="13">
        <f t="shared" si="40"/>
        <v>0</v>
      </c>
      <c r="O89" s="13">
        <f t="shared" si="41"/>
        <v>0</v>
      </c>
      <c r="P89" s="13">
        <f t="shared" si="42"/>
        <v>0</v>
      </c>
      <c r="Q89" s="13">
        <f t="shared" si="43"/>
        <v>0</v>
      </c>
      <c r="R89" s="13">
        <f t="shared" si="44"/>
        <v>0</v>
      </c>
      <c r="T89">
        <v>78</v>
      </c>
      <c r="U89" s="4">
        <f t="shared" si="35"/>
        <v>0</v>
      </c>
      <c r="V89" s="13">
        <f t="shared" si="45"/>
        <v>0</v>
      </c>
      <c r="W89" s="4">
        <f t="shared" si="36"/>
        <v>0</v>
      </c>
      <c r="X89" s="13">
        <f t="shared" si="37"/>
        <v>0</v>
      </c>
      <c r="Y89" s="4">
        <f t="shared" si="38"/>
        <v>0</v>
      </c>
    </row>
    <row r="90" spans="6:25">
      <c r="F90">
        <v>79</v>
      </c>
      <c r="G90" s="11">
        <f t="shared" si="27"/>
        <v>0</v>
      </c>
      <c r="H90" s="11">
        <f t="shared" si="39"/>
        <v>0</v>
      </c>
      <c r="I90" s="11">
        <f t="shared" si="28"/>
        <v>0</v>
      </c>
      <c r="J90" s="11">
        <f t="shared" si="29"/>
        <v>0</v>
      </c>
      <c r="K90" s="11">
        <f t="shared" si="30"/>
        <v>0</v>
      </c>
      <c r="M90">
        <v>79</v>
      </c>
      <c r="N90" s="13">
        <f t="shared" si="40"/>
        <v>0</v>
      </c>
      <c r="O90" s="13">
        <f t="shared" si="41"/>
        <v>0</v>
      </c>
      <c r="P90" s="13">
        <f t="shared" si="42"/>
        <v>0</v>
      </c>
      <c r="Q90" s="13">
        <f t="shared" si="43"/>
        <v>0</v>
      </c>
      <c r="R90" s="13">
        <f t="shared" si="44"/>
        <v>0</v>
      </c>
      <c r="T90">
        <v>79</v>
      </c>
      <c r="U90" s="4">
        <f t="shared" si="35"/>
        <v>0</v>
      </c>
      <c r="V90" s="13">
        <f t="shared" si="45"/>
        <v>0</v>
      </c>
      <c r="W90" s="4">
        <f t="shared" si="36"/>
        <v>0</v>
      </c>
      <c r="X90" s="13">
        <f t="shared" si="37"/>
        <v>0</v>
      </c>
      <c r="Y90" s="4">
        <f t="shared" si="38"/>
        <v>0</v>
      </c>
    </row>
    <row r="91" spans="6:25">
      <c r="F91">
        <v>80</v>
      </c>
      <c r="G91" s="11">
        <f t="shared" si="27"/>
        <v>0</v>
      </c>
      <c r="H91" s="11">
        <f t="shared" si="39"/>
        <v>0</v>
      </c>
      <c r="I91" s="11">
        <f t="shared" si="28"/>
        <v>0</v>
      </c>
      <c r="J91" s="11">
        <f t="shared" si="29"/>
        <v>0</v>
      </c>
      <c r="K91" s="11">
        <f t="shared" si="30"/>
        <v>0</v>
      </c>
      <c r="M91">
        <v>80</v>
      </c>
      <c r="N91" s="13">
        <f t="shared" si="40"/>
        <v>0</v>
      </c>
      <c r="O91" s="13">
        <f t="shared" si="41"/>
        <v>0</v>
      </c>
      <c r="P91" s="13">
        <f t="shared" si="42"/>
        <v>0</v>
      </c>
      <c r="Q91" s="13">
        <f t="shared" si="43"/>
        <v>0</v>
      </c>
      <c r="R91" s="13">
        <f t="shared" si="44"/>
        <v>0</v>
      </c>
      <c r="T91">
        <v>80</v>
      </c>
      <c r="U91" s="4">
        <f t="shared" si="35"/>
        <v>0</v>
      </c>
      <c r="V91" s="13">
        <f t="shared" si="45"/>
        <v>0</v>
      </c>
      <c r="W91" s="4">
        <f t="shared" si="36"/>
        <v>0</v>
      </c>
      <c r="X91" s="13">
        <f t="shared" si="37"/>
        <v>0</v>
      </c>
      <c r="Y91" s="4">
        <f t="shared" si="38"/>
        <v>0</v>
      </c>
    </row>
    <row r="92" spans="6:25">
      <c r="F92">
        <v>81</v>
      </c>
      <c r="G92" s="11">
        <f t="shared" si="27"/>
        <v>0</v>
      </c>
      <c r="H92" s="11">
        <f t="shared" si="39"/>
        <v>0</v>
      </c>
      <c r="I92" s="11">
        <f t="shared" si="28"/>
        <v>0</v>
      </c>
      <c r="J92" s="11">
        <f t="shared" si="29"/>
        <v>0</v>
      </c>
      <c r="K92" s="11">
        <f t="shared" si="30"/>
        <v>0</v>
      </c>
      <c r="M92">
        <v>81</v>
      </c>
      <c r="N92" s="13">
        <f>R91</f>
        <v>0</v>
      </c>
      <c r="O92" s="13">
        <f>$N$10</f>
        <v>0</v>
      </c>
      <c r="P92" s="13">
        <f>N92*$N$9</f>
        <v>0</v>
      </c>
      <c r="Q92" s="13">
        <f>O92-P92</f>
        <v>0</v>
      </c>
      <c r="R92" s="13">
        <f>N92-Q92</f>
        <v>0</v>
      </c>
      <c r="T92">
        <v>81</v>
      </c>
      <c r="U92" s="4">
        <f t="shared" si="35"/>
        <v>0</v>
      </c>
      <c r="V92" s="13">
        <f t="shared" si="45"/>
        <v>0</v>
      </c>
      <c r="W92" s="4">
        <f t="shared" si="36"/>
        <v>0</v>
      </c>
      <c r="X92" s="13">
        <f t="shared" si="37"/>
        <v>0</v>
      </c>
      <c r="Y92" s="4">
        <f t="shared" si="38"/>
        <v>0</v>
      </c>
    </row>
    <row r="93" spans="6:25">
      <c r="F93">
        <v>82</v>
      </c>
      <c r="G93" s="11">
        <f t="shared" si="27"/>
        <v>0</v>
      </c>
      <c r="H93" s="11">
        <f t="shared" si="39"/>
        <v>0</v>
      </c>
      <c r="I93" s="11">
        <f t="shared" si="28"/>
        <v>0</v>
      </c>
      <c r="J93" s="11">
        <f t="shared" si="29"/>
        <v>0</v>
      </c>
      <c r="K93" s="11">
        <f t="shared" si="30"/>
        <v>0</v>
      </c>
      <c r="M93">
        <v>82</v>
      </c>
      <c r="N93" s="13">
        <f t="shared" ref="N93:N155" si="46">R92</f>
        <v>0</v>
      </c>
      <c r="O93" s="13">
        <f t="shared" ref="O93:O155" si="47">$N$10</f>
        <v>0</v>
      </c>
      <c r="P93" s="13">
        <f t="shared" ref="P93:P155" si="48">N93*$N$9</f>
        <v>0</v>
      </c>
      <c r="Q93" s="13">
        <f t="shared" ref="Q93:Q155" si="49">O93-P93</f>
        <v>0</v>
      </c>
      <c r="R93" s="13">
        <f t="shared" ref="R93:R155" si="50">N93-Q93</f>
        <v>0</v>
      </c>
      <c r="T93">
        <v>82</v>
      </c>
      <c r="U93" s="4">
        <f t="shared" si="35"/>
        <v>0</v>
      </c>
      <c r="V93" s="13">
        <f t="shared" si="45"/>
        <v>0</v>
      </c>
      <c r="W93" s="4">
        <f t="shared" si="36"/>
        <v>0</v>
      </c>
      <c r="X93" s="13">
        <f t="shared" si="37"/>
        <v>0</v>
      </c>
      <c r="Y93" s="4">
        <f t="shared" si="38"/>
        <v>0</v>
      </c>
    </row>
    <row r="94" spans="6:25">
      <c r="F94">
        <v>83</v>
      </c>
      <c r="G94" s="11">
        <f t="shared" si="27"/>
        <v>0</v>
      </c>
      <c r="H94" s="11">
        <f t="shared" si="39"/>
        <v>0</v>
      </c>
      <c r="I94" s="11">
        <f t="shared" si="28"/>
        <v>0</v>
      </c>
      <c r="J94" s="11">
        <f t="shared" si="29"/>
        <v>0</v>
      </c>
      <c r="K94" s="11">
        <f t="shared" si="30"/>
        <v>0</v>
      </c>
      <c r="M94">
        <v>83</v>
      </c>
      <c r="N94" s="13">
        <f t="shared" si="46"/>
        <v>0</v>
      </c>
      <c r="O94" s="13">
        <f t="shared" si="47"/>
        <v>0</v>
      </c>
      <c r="P94" s="13">
        <f t="shared" si="48"/>
        <v>0</v>
      </c>
      <c r="Q94" s="13">
        <f t="shared" si="49"/>
        <v>0</v>
      </c>
      <c r="R94" s="13">
        <f t="shared" si="50"/>
        <v>0</v>
      </c>
      <c r="T94">
        <v>83</v>
      </c>
      <c r="U94" s="4">
        <f t="shared" si="35"/>
        <v>0</v>
      </c>
      <c r="V94" s="13">
        <f t="shared" si="45"/>
        <v>0</v>
      </c>
      <c r="W94" s="4">
        <f t="shared" si="36"/>
        <v>0</v>
      </c>
      <c r="X94" s="13">
        <f t="shared" si="37"/>
        <v>0</v>
      </c>
      <c r="Y94" s="4">
        <f t="shared" si="38"/>
        <v>0</v>
      </c>
    </row>
    <row r="95" spans="6:25">
      <c r="F95">
        <v>84</v>
      </c>
      <c r="G95" s="11">
        <f t="shared" si="27"/>
        <v>0</v>
      </c>
      <c r="H95" s="11">
        <f t="shared" si="39"/>
        <v>0</v>
      </c>
      <c r="I95" s="11">
        <f t="shared" si="28"/>
        <v>0</v>
      </c>
      <c r="J95" s="11">
        <f t="shared" si="29"/>
        <v>0</v>
      </c>
      <c r="K95" s="11">
        <f t="shared" si="30"/>
        <v>0</v>
      </c>
      <c r="M95">
        <v>84</v>
      </c>
      <c r="N95" s="13">
        <f t="shared" si="46"/>
        <v>0</v>
      </c>
      <c r="O95" s="13">
        <f t="shared" si="47"/>
        <v>0</v>
      </c>
      <c r="P95" s="13">
        <f t="shared" si="48"/>
        <v>0</v>
      </c>
      <c r="Q95" s="13">
        <f t="shared" si="49"/>
        <v>0</v>
      </c>
      <c r="R95" s="13">
        <f t="shared" si="50"/>
        <v>0</v>
      </c>
      <c r="T95">
        <v>84</v>
      </c>
      <c r="U95" s="4">
        <f t="shared" si="35"/>
        <v>0</v>
      </c>
      <c r="V95" s="13">
        <f t="shared" si="45"/>
        <v>0</v>
      </c>
      <c r="W95" s="4">
        <f t="shared" si="36"/>
        <v>0</v>
      </c>
      <c r="X95" s="13">
        <f t="shared" si="37"/>
        <v>0</v>
      </c>
      <c r="Y95" s="4">
        <f t="shared" si="38"/>
        <v>0</v>
      </c>
    </row>
    <row r="96" spans="6:25">
      <c r="F96">
        <v>85</v>
      </c>
      <c r="G96" s="11">
        <f t="shared" si="27"/>
        <v>0</v>
      </c>
      <c r="H96" s="11">
        <f t="shared" si="39"/>
        <v>0</v>
      </c>
      <c r="I96" s="11">
        <f t="shared" si="28"/>
        <v>0</v>
      </c>
      <c r="J96" s="11">
        <f t="shared" si="29"/>
        <v>0</v>
      </c>
      <c r="K96" s="11">
        <f t="shared" si="30"/>
        <v>0</v>
      </c>
      <c r="M96">
        <v>85</v>
      </c>
      <c r="N96" s="13">
        <f t="shared" si="46"/>
        <v>0</v>
      </c>
      <c r="O96" s="13">
        <f t="shared" si="47"/>
        <v>0</v>
      </c>
      <c r="P96" s="13">
        <f t="shared" si="48"/>
        <v>0</v>
      </c>
      <c r="Q96" s="13">
        <f t="shared" si="49"/>
        <v>0</v>
      </c>
      <c r="R96" s="13">
        <f t="shared" si="50"/>
        <v>0</v>
      </c>
      <c r="T96">
        <v>85</v>
      </c>
      <c r="U96" s="4">
        <f t="shared" si="35"/>
        <v>0</v>
      </c>
      <c r="V96" s="13">
        <f t="shared" si="45"/>
        <v>0</v>
      </c>
      <c r="W96" s="4">
        <f t="shared" si="36"/>
        <v>0</v>
      </c>
      <c r="X96" s="13">
        <f t="shared" si="37"/>
        <v>0</v>
      </c>
      <c r="Y96" s="4">
        <f t="shared" si="38"/>
        <v>0</v>
      </c>
    </row>
    <row r="97" spans="6:25">
      <c r="F97">
        <v>86</v>
      </c>
      <c r="G97" s="11">
        <f t="shared" si="27"/>
        <v>0</v>
      </c>
      <c r="H97" s="11">
        <f t="shared" si="39"/>
        <v>0</v>
      </c>
      <c r="I97" s="11">
        <f t="shared" si="28"/>
        <v>0</v>
      </c>
      <c r="J97" s="11">
        <f t="shared" si="29"/>
        <v>0</v>
      </c>
      <c r="K97" s="11">
        <f t="shared" si="30"/>
        <v>0</v>
      </c>
      <c r="M97">
        <v>86</v>
      </c>
      <c r="N97" s="13">
        <f t="shared" si="46"/>
        <v>0</v>
      </c>
      <c r="O97" s="13">
        <f t="shared" si="47"/>
        <v>0</v>
      </c>
      <c r="P97" s="13">
        <f t="shared" si="48"/>
        <v>0</v>
      </c>
      <c r="Q97" s="13">
        <f t="shared" si="49"/>
        <v>0</v>
      </c>
      <c r="R97" s="13">
        <f t="shared" si="50"/>
        <v>0</v>
      </c>
      <c r="T97">
        <v>86</v>
      </c>
      <c r="U97" s="4">
        <f>Y96</f>
        <v>0</v>
      </c>
      <c r="V97" s="13">
        <f>$U$10</f>
        <v>0</v>
      </c>
      <c r="W97" s="4">
        <f>U97*$U$9</f>
        <v>0</v>
      </c>
      <c r="X97" s="13">
        <f>V97-W97</f>
        <v>0</v>
      </c>
      <c r="Y97" s="4">
        <f>U97-X97</f>
        <v>0</v>
      </c>
    </row>
    <row r="98" spans="6:25">
      <c r="F98">
        <v>87</v>
      </c>
      <c r="G98" s="11">
        <f t="shared" si="27"/>
        <v>0</v>
      </c>
      <c r="H98" s="11">
        <f t="shared" si="39"/>
        <v>0</v>
      </c>
      <c r="I98" s="11">
        <f t="shared" si="28"/>
        <v>0</v>
      </c>
      <c r="J98" s="11">
        <f t="shared" si="29"/>
        <v>0</v>
      </c>
      <c r="K98" s="11">
        <f t="shared" si="30"/>
        <v>0</v>
      </c>
      <c r="M98">
        <v>87</v>
      </c>
      <c r="N98" s="13">
        <f t="shared" si="46"/>
        <v>0</v>
      </c>
      <c r="O98" s="13">
        <f t="shared" si="47"/>
        <v>0</v>
      </c>
      <c r="P98" s="13">
        <f t="shared" si="48"/>
        <v>0</v>
      </c>
      <c r="Q98" s="13">
        <f t="shared" si="49"/>
        <v>0</v>
      </c>
      <c r="R98" s="13">
        <f t="shared" si="50"/>
        <v>0</v>
      </c>
      <c r="T98">
        <v>87</v>
      </c>
      <c r="U98" s="4">
        <f t="shared" ref="U98:U112" si="51">Y97</f>
        <v>0</v>
      </c>
      <c r="V98" s="13">
        <f t="shared" ref="V98:V112" si="52">$U$10</f>
        <v>0</v>
      </c>
      <c r="W98" s="4">
        <f t="shared" ref="W98:W112" si="53">U98*$U$9</f>
        <v>0</v>
      </c>
      <c r="X98" s="13">
        <f t="shared" ref="X98:X112" si="54">V98-W98</f>
        <v>0</v>
      </c>
      <c r="Y98" s="4">
        <f t="shared" ref="Y98:Y112" si="55">U98-X98</f>
        <v>0</v>
      </c>
    </row>
    <row r="99" spans="6:25">
      <c r="F99">
        <v>88</v>
      </c>
      <c r="G99" s="11">
        <f t="shared" si="27"/>
        <v>0</v>
      </c>
      <c r="H99" s="11">
        <f t="shared" si="39"/>
        <v>0</v>
      </c>
      <c r="I99" s="11">
        <f t="shared" si="28"/>
        <v>0</v>
      </c>
      <c r="J99" s="11">
        <f t="shared" si="29"/>
        <v>0</v>
      </c>
      <c r="K99" s="11">
        <f t="shared" si="30"/>
        <v>0</v>
      </c>
      <c r="M99">
        <v>88</v>
      </c>
      <c r="N99" s="13">
        <f t="shared" si="46"/>
        <v>0</v>
      </c>
      <c r="O99" s="13">
        <f t="shared" si="47"/>
        <v>0</v>
      </c>
      <c r="P99" s="13">
        <f t="shared" si="48"/>
        <v>0</v>
      </c>
      <c r="Q99" s="13">
        <f t="shared" si="49"/>
        <v>0</v>
      </c>
      <c r="R99" s="13">
        <f t="shared" si="50"/>
        <v>0</v>
      </c>
      <c r="T99">
        <v>88</v>
      </c>
      <c r="U99" s="4">
        <f t="shared" si="51"/>
        <v>0</v>
      </c>
      <c r="V99" s="13">
        <f t="shared" si="52"/>
        <v>0</v>
      </c>
      <c r="W99" s="4">
        <f t="shared" si="53"/>
        <v>0</v>
      </c>
      <c r="X99" s="13">
        <f t="shared" si="54"/>
        <v>0</v>
      </c>
      <c r="Y99" s="4">
        <f t="shared" si="55"/>
        <v>0</v>
      </c>
    </row>
    <row r="100" spans="6:25">
      <c r="F100">
        <v>89</v>
      </c>
      <c r="G100" s="11">
        <f t="shared" si="27"/>
        <v>0</v>
      </c>
      <c r="H100" s="11">
        <f t="shared" si="39"/>
        <v>0</v>
      </c>
      <c r="I100" s="11">
        <f t="shared" si="28"/>
        <v>0</v>
      </c>
      <c r="J100" s="11">
        <f t="shared" si="29"/>
        <v>0</v>
      </c>
      <c r="K100" s="11">
        <f t="shared" si="30"/>
        <v>0</v>
      </c>
      <c r="M100">
        <v>89</v>
      </c>
      <c r="N100" s="13">
        <f t="shared" si="46"/>
        <v>0</v>
      </c>
      <c r="O100" s="13">
        <f t="shared" si="47"/>
        <v>0</v>
      </c>
      <c r="P100" s="13">
        <f t="shared" si="48"/>
        <v>0</v>
      </c>
      <c r="Q100" s="13">
        <f t="shared" si="49"/>
        <v>0</v>
      </c>
      <c r="R100" s="13">
        <f t="shared" si="50"/>
        <v>0</v>
      </c>
      <c r="T100">
        <v>89</v>
      </c>
      <c r="U100" s="4">
        <f t="shared" si="51"/>
        <v>0</v>
      </c>
      <c r="V100" s="13">
        <f t="shared" si="52"/>
        <v>0</v>
      </c>
      <c r="W100" s="4">
        <f t="shared" si="53"/>
        <v>0</v>
      </c>
      <c r="X100" s="13">
        <f t="shared" si="54"/>
        <v>0</v>
      </c>
      <c r="Y100" s="4">
        <f t="shared" si="55"/>
        <v>0</v>
      </c>
    </row>
    <row r="101" spans="6:25">
      <c r="F101">
        <v>90</v>
      </c>
      <c r="G101" s="11">
        <f t="shared" si="27"/>
        <v>0</v>
      </c>
      <c r="H101" s="11">
        <f t="shared" si="39"/>
        <v>0</v>
      </c>
      <c r="I101" s="11">
        <f t="shared" si="28"/>
        <v>0</v>
      </c>
      <c r="J101" s="11">
        <f t="shared" si="29"/>
        <v>0</v>
      </c>
      <c r="K101" s="11">
        <f t="shared" si="30"/>
        <v>0</v>
      </c>
      <c r="M101">
        <v>90</v>
      </c>
      <c r="N101" s="13">
        <f t="shared" si="46"/>
        <v>0</v>
      </c>
      <c r="O101" s="13">
        <f t="shared" si="47"/>
        <v>0</v>
      </c>
      <c r="P101" s="13">
        <f t="shared" si="48"/>
        <v>0</v>
      </c>
      <c r="Q101" s="13">
        <f t="shared" si="49"/>
        <v>0</v>
      </c>
      <c r="R101" s="13">
        <f t="shared" si="50"/>
        <v>0</v>
      </c>
      <c r="T101">
        <v>90</v>
      </c>
      <c r="U101" s="4">
        <f t="shared" si="51"/>
        <v>0</v>
      </c>
      <c r="V101" s="13">
        <f t="shared" si="52"/>
        <v>0</v>
      </c>
      <c r="W101" s="4">
        <f t="shared" si="53"/>
        <v>0</v>
      </c>
      <c r="X101" s="13">
        <f t="shared" si="54"/>
        <v>0</v>
      </c>
      <c r="Y101" s="4">
        <f t="shared" si="55"/>
        <v>0</v>
      </c>
    </row>
    <row r="102" spans="6:25">
      <c r="F102">
        <v>91</v>
      </c>
      <c r="G102" s="11">
        <f t="shared" si="27"/>
        <v>0</v>
      </c>
      <c r="H102" s="11">
        <f t="shared" si="39"/>
        <v>0</v>
      </c>
      <c r="I102" s="11">
        <f t="shared" si="28"/>
        <v>0</v>
      </c>
      <c r="J102" s="11">
        <f t="shared" si="29"/>
        <v>0</v>
      </c>
      <c r="K102" s="11">
        <f t="shared" si="30"/>
        <v>0</v>
      </c>
      <c r="M102">
        <v>91</v>
      </c>
      <c r="N102" s="13">
        <f t="shared" si="46"/>
        <v>0</v>
      </c>
      <c r="O102" s="13">
        <f t="shared" si="47"/>
        <v>0</v>
      </c>
      <c r="P102" s="13">
        <f t="shared" si="48"/>
        <v>0</v>
      </c>
      <c r="Q102" s="13">
        <f t="shared" si="49"/>
        <v>0</v>
      </c>
      <c r="R102" s="13">
        <f t="shared" si="50"/>
        <v>0</v>
      </c>
      <c r="T102">
        <v>91</v>
      </c>
      <c r="U102" s="4">
        <f t="shared" si="51"/>
        <v>0</v>
      </c>
      <c r="V102" s="13">
        <f t="shared" si="52"/>
        <v>0</v>
      </c>
      <c r="W102" s="4">
        <f t="shared" si="53"/>
        <v>0</v>
      </c>
      <c r="X102" s="13">
        <f t="shared" si="54"/>
        <v>0</v>
      </c>
      <c r="Y102" s="4">
        <f t="shared" si="55"/>
        <v>0</v>
      </c>
    </row>
    <row r="103" spans="6:25">
      <c r="F103">
        <v>92</v>
      </c>
      <c r="G103" s="11">
        <f t="shared" si="27"/>
        <v>0</v>
      </c>
      <c r="H103" s="11">
        <f t="shared" si="39"/>
        <v>0</v>
      </c>
      <c r="I103" s="11">
        <f t="shared" si="28"/>
        <v>0</v>
      </c>
      <c r="J103" s="11">
        <f t="shared" si="29"/>
        <v>0</v>
      </c>
      <c r="K103" s="11">
        <f t="shared" si="30"/>
        <v>0</v>
      </c>
      <c r="M103">
        <v>92</v>
      </c>
      <c r="N103" s="13">
        <f t="shared" si="46"/>
        <v>0</v>
      </c>
      <c r="O103" s="13">
        <f t="shared" si="47"/>
        <v>0</v>
      </c>
      <c r="P103" s="13">
        <f t="shared" si="48"/>
        <v>0</v>
      </c>
      <c r="Q103" s="13">
        <f t="shared" si="49"/>
        <v>0</v>
      </c>
      <c r="R103" s="13">
        <f t="shared" si="50"/>
        <v>0</v>
      </c>
      <c r="T103">
        <v>92</v>
      </c>
      <c r="U103" s="4">
        <f t="shared" si="51"/>
        <v>0</v>
      </c>
      <c r="V103" s="13">
        <f t="shared" si="52"/>
        <v>0</v>
      </c>
      <c r="W103" s="4">
        <f t="shared" si="53"/>
        <v>0</v>
      </c>
      <c r="X103" s="13">
        <f t="shared" si="54"/>
        <v>0</v>
      </c>
      <c r="Y103" s="4">
        <f t="shared" si="55"/>
        <v>0</v>
      </c>
    </row>
    <row r="104" spans="6:25">
      <c r="F104">
        <v>93</v>
      </c>
      <c r="G104" s="11">
        <f t="shared" ref="G104:G167" si="56">K103</f>
        <v>0</v>
      </c>
      <c r="H104" s="11">
        <f t="shared" si="39"/>
        <v>0</v>
      </c>
      <c r="I104" s="11">
        <f t="shared" ref="I104:I167" si="57">G104*$H$9</f>
        <v>0</v>
      </c>
      <c r="J104" s="11">
        <f t="shared" ref="J104:J167" si="58">H104-I104</f>
        <v>0</v>
      </c>
      <c r="K104" s="11">
        <f t="shared" ref="K104:K167" si="59">G104-J104</f>
        <v>0</v>
      </c>
      <c r="M104">
        <v>93</v>
      </c>
      <c r="N104" s="13">
        <f t="shared" si="46"/>
        <v>0</v>
      </c>
      <c r="O104" s="13">
        <f t="shared" si="47"/>
        <v>0</v>
      </c>
      <c r="P104" s="13">
        <f t="shared" si="48"/>
        <v>0</v>
      </c>
      <c r="Q104" s="13">
        <f t="shared" si="49"/>
        <v>0</v>
      </c>
      <c r="R104" s="13">
        <f t="shared" si="50"/>
        <v>0</v>
      </c>
      <c r="T104">
        <v>93</v>
      </c>
      <c r="U104" s="4">
        <f t="shared" si="51"/>
        <v>0</v>
      </c>
      <c r="V104" s="13">
        <f t="shared" si="52"/>
        <v>0</v>
      </c>
      <c r="W104" s="4">
        <f t="shared" si="53"/>
        <v>0</v>
      </c>
      <c r="X104" s="13">
        <f t="shared" si="54"/>
        <v>0</v>
      </c>
      <c r="Y104" s="4">
        <f t="shared" si="55"/>
        <v>0</v>
      </c>
    </row>
    <row r="105" spans="6:25">
      <c r="F105">
        <v>94</v>
      </c>
      <c r="G105" s="11">
        <f t="shared" si="56"/>
        <v>0</v>
      </c>
      <c r="H105" s="11">
        <f t="shared" si="39"/>
        <v>0</v>
      </c>
      <c r="I105" s="11">
        <f t="shared" si="57"/>
        <v>0</v>
      </c>
      <c r="J105" s="11">
        <f t="shared" si="58"/>
        <v>0</v>
      </c>
      <c r="K105" s="11">
        <f t="shared" si="59"/>
        <v>0</v>
      </c>
      <c r="M105">
        <v>94</v>
      </c>
      <c r="N105" s="13">
        <f t="shared" si="46"/>
        <v>0</v>
      </c>
      <c r="O105" s="13">
        <f t="shared" si="47"/>
        <v>0</v>
      </c>
      <c r="P105" s="13">
        <f t="shared" si="48"/>
        <v>0</v>
      </c>
      <c r="Q105" s="13">
        <f t="shared" si="49"/>
        <v>0</v>
      </c>
      <c r="R105" s="13">
        <f t="shared" si="50"/>
        <v>0</v>
      </c>
      <c r="T105">
        <v>94</v>
      </c>
      <c r="U105" s="4">
        <f t="shared" si="51"/>
        <v>0</v>
      </c>
      <c r="V105" s="13">
        <f t="shared" si="52"/>
        <v>0</v>
      </c>
      <c r="W105" s="4">
        <f t="shared" si="53"/>
        <v>0</v>
      </c>
      <c r="X105" s="13">
        <f t="shared" si="54"/>
        <v>0</v>
      </c>
      <c r="Y105" s="4">
        <f t="shared" si="55"/>
        <v>0</v>
      </c>
    </row>
    <row r="106" spans="6:25">
      <c r="F106">
        <v>95</v>
      </c>
      <c r="G106" s="11">
        <f t="shared" si="56"/>
        <v>0</v>
      </c>
      <c r="H106" s="11">
        <f t="shared" si="39"/>
        <v>0</v>
      </c>
      <c r="I106" s="11">
        <f t="shared" si="57"/>
        <v>0</v>
      </c>
      <c r="J106" s="11">
        <f t="shared" si="58"/>
        <v>0</v>
      </c>
      <c r="K106" s="11">
        <f t="shared" si="59"/>
        <v>0</v>
      </c>
      <c r="M106">
        <v>95</v>
      </c>
      <c r="N106" s="13">
        <f t="shared" si="46"/>
        <v>0</v>
      </c>
      <c r="O106" s="13">
        <f t="shared" si="47"/>
        <v>0</v>
      </c>
      <c r="P106" s="13">
        <f t="shared" si="48"/>
        <v>0</v>
      </c>
      <c r="Q106" s="13">
        <f t="shared" si="49"/>
        <v>0</v>
      </c>
      <c r="R106" s="13">
        <f t="shared" si="50"/>
        <v>0</v>
      </c>
      <c r="T106">
        <v>95</v>
      </c>
      <c r="U106" s="4">
        <f t="shared" si="51"/>
        <v>0</v>
      </c>
      <c r="V106" s="13">
        <f t="shared" si="52"/>
        <v>0</v>
      </c>
      <c r="W106" s="4">
        <f t="shared" si="53"/>
        <v>0</v>
      </c>
      <c r="X106" s="13">
        <f t="shared" si="54"/>
        <v>0</v>
      </c>
      <c r="Y106" s="4">
        <f t="shared" si="55"/>
        <v>0</v>
      </c>
    </row>
    <row r="107" spans="6:25">
      <c r="F107">
        <v>96</v>
      </c>
      <c r="G107" s="11">
        <f t="shared" si="56"/>
        <v>0</v>
      </c>
      <c r="H107" s="11">
        <f t="shared" si="39"/>
        <v>0</v>
      </c>
      <c r="I107" s="11">
        <f t="shared" si="57"/>
        <v>0</v>
      </c>
      <c r="J107" s="11">
        <f t="shared" si="58"/>
        <v>0</v>
      </c>
      <c r="K107" s="11">
        <f t="shared" si="59"/>
        <v>0</v>
      </c>
      <c r="M107">
        <v>96</v>
      </c>
      <c r="N107" s="13">
        <f t="shared" si="46"/>
        <v>0</v>
      </c>
      <c r="O107" s="13">
        <f t="shared" si="47"/>
        <v>0</v>
      </c>
      <c r="P107" s="13">
        <f t="shared" si="48"/>
        <v>0</v>
      </c>
      <c r="Q107" s="13">
        <f t="shared" si="49"/>
        <v>0</v>
      </c>
      <c r="R107" s="13">
        <f t="shared" si="50"/>
        <v>0</v>
      </c>
      <c r="T107">
        <v>96</v>
      </c>
      <c r="U107" s="4">
        <f t="shared" si="51"/>
        <v>0</v>
      </c>
      <c r="V107" s="13">
        <f t="shared" si="52"/>
        <v>0</v>
      </c>
      <c r="W107" s="4">
        <f t="shared" si="53"/>
        <v>0</v>
      </c>
      <c r="X107" s="13">
        <f t="shared" si="54"/>
        <v>0</v>
      </c>
      <c r="Y107" s="4">
        <f t="shared" si="55"/>
        <v>0</v>
      </c>
    </row>
    <row r="108" spans="6:25">
      <c r="F108">
        <v>97</v>
      </c>
      <c r="G108" s="11">
        <f t="shared" si="56"/>
        <v>0</v>
      </c>
      <c r="H108" s="11">
        <f t="shared" si="39"/>
        <v>0</v>
      </c>
      <c r="I108" s="11">
        <f t="shared" si="57"/>
        <v>0</v>
      </c>
      <c r="J108" s="11">
        <f t="shared" si="58"/>
        <v>0</v>
      </c>
      <c r="K108" s="11">
        <f t="shared" si="59"/>
        <v>0</v>
      </c>
      <c r="M108">
        <v>97</v>
      </c>
      <c r="N108" s="13">
        <f t="shared" si="46"/>
        <v>0</v>
      </c>
      <c r="O108" s="13">
        <f t="shared" si="47"/>
        <v>0</v>
      </c>
      <c r="P108" s="13">
        <f t="shared" si="48"/>
        <v>0</v>
      </c>
      <c r="Q108" s="13">
        <f t="shared" si="49"/>
        <v>0</v>
      </c>
      <c r="R108" s="13">
        <f t="shared" si="50"/>
        <v>0</v>
      </c>
      <c r="T108">
        <v>97</v>
      </c>
      <c r="U108" s="4">
        <f t="shared" si="51"/>
        <v>0</v>
      </c>
      <c r="V108" s="13">
        <f t="shared" si="52"/>
        <v>0</v>
      </c>
      <c r="W108" s="4">
        <f t="shared" si="53"/>
        <v>0</v>
      </c>
      <c r="X108" s="13">
        <f t="shared" si="54"/>
        <v>0</v>
      </c>
      <c r="Y108" s="4">
        <f t="shared" si="55"/>
        <v>0</v>
      </c>
    </row>
    <row r="109" spans="6:25">
      <c r="F109">
        <v>98</v>
      </c>
      <c r="G109" s="11">
        <f t="shared" si="56"/>
        <v>0</v>
      </c>
      <c r="H109" s="11">
        <f t="shared" si="39"/>
        <v>0</v>
      </c>
      <c r="I109" s="11">
        <f t="shared" si="57"/>
        <v>0</v>
      </c>
      <c r="J109" s="11">
        <f t="shared" si="58"/>
        <v>0</v>
      </c>
      <c r="K109" s="11">
        <f t="shared" si="59"/>
        <v>0</v>
      </c>
      <c r="M109">
        <v>98</v>
      </c>
      <c r="N109" s="13">
        <f t="shared" si="46"/>
        <v>0</v>
      </c>
      <c r="O109" s="13">
        <f t="shared" si="47"/>
        <v>0</v>
      </c>
      <c r="P109" s="13">
        <f t="shared" si="48"/>
        <v>0</v>
      </c>
      <c r="Q109" s="13">
        <f t="shared" si="49"/>
        <v>0</v>
      </c>
      <c r="R109" s="13">
        <f t="shared" si="50"/>
        <v>0</v>
      </c>
      <c r="T109">
        <v>98</v>
      </c>
      <c r="U109" s="4">
        <f t="shared" si="51"/>
        <v>0</v>
      </c>
      <c r="V109" s="13">
        <f t="shared" si="52"/>
        <v>0</v>
      </c>
      <c r="W109" s="4">
        <f t="shared" si="53"/>
        <v>0</v>
      </c>
      <c r="X109" s="13">
        <f t="shared" si="54"/>
        <v>0</v>
      </c>
      <c r="Y109" s="4">
        <f t="shared" si="55"/>
        <v>0</v>
      </c>
    </row>
    <row r="110" spans="6:25">
      <c r="F110">
        <v>99</v>
      </c>
      <c r="G110" s="11">
        <f t="shared" si="56"/>
        <v>0</v>
      </c>
      <c r="H110" s="11">
        <f t="shared" si="39"/>
        <v>0</v>
      </c>
      <c r="I110" s="11">
        <f t="shared" si="57"/>
        <v>0</v>
      </c>
      <c r="J110" s="11">
        <f t="shared" si="58"/>
        <v>0</v>
      </c>
      <c r="K110" s="11">
        <f t="shared" si="59"/>
        <v>0</v>
      </c>
      <c r="M110">
        <v>99</v>
      </c>
      <c r="N110" s="13">
        <f t="shared" si="46"/>
        <v>0</v>
      </c>
      <c r="O110" s="13">
        <f t="shared" si="47"/>
        <v>0</v>
      </c>
      <c r="P110" s="13">
        <f t="shared" si="48"/>
        <v>0</v>
      </c>
      <c r="Q110" s="13">
        <f t="shared" si="49"/>
        <v>0</v>
      </c>
      <c r="R110" s="13">
        <f t="shared" si="50"/>
        <v>0</v>
      </c>
      <c r="T110">
        <v>99</v>
      </c>
      <c r="U110" s="4">
        <f t="shared" si="51"/>
        <v>0</v>
      </c>
      <c r="V110" s="13">
        <f t="shared" si="52"/>
        <v>0</v>
      </c>
      <c r="W110" s="4">
        <f t="shared" si="53"/>
        <v>0</v>
      </c>
      <c r="X110" s="13">
        <f t="shared" si="54"/>
        <v>0</v>
      </c>
      <c r="Y110" s="4">
        <f t="shared" si="55"/>
        <v>0</v>
      </c>
    </row>
    <row r="111" spans="6:25">
      <c r="F111">
        <v>100</v>
      </c>
      <c r="G111" s="11">
        <f t="shared" si="56"/>
        <v>0</v>
      </c>
      <c r="H111" s="11">
        <f t="shared" si="39"/>
        <v>0</v>
      </c>
      <c r="I111" s="11">
        <f t="shared" si="57"/>
        <v>0</v>
      </c>
      <c r="J111" s="11">
        <f t="shared" si="58"/>
        <v>0</v>
      </c>
      <c r="K111" s="11">
        <f t="shared" si="59"/>
        <v>0</v>
      </c>
      <c r="M111">
        <v>100</v>
      </c>
      <c r="N111" s="13">
        <f t="shared" si="46"/>
        <v>0</v>
      </c>
      <c r="O111" s="13">
        <f t="shared" si="47"/>
        <v>0</v>
      </c>
      <c r="P111" s="13">
        <f t="shared" si="48"/>
        <v>0</v>
      </c>
      <c r="Q111" s="13">
        <f t="shared" si="49"/>
        <v>0</v>
      </c>
      <c r="R111" s="13">
        <f t="shared" si="50"/>
        <v>0</v>
      </c>
      <c r="T111">
        <v>100</v>
      </c>
      <c r="U111" s="4">
        <f t="shared" si="51"/>
        <v>0</v>
      </c>
      <c r="V111" s="13">
        <f t="shared" si="52"/>
        <v>0</v>
      </c>
      <c r="W111" s="4">
        <f t="shared" si="53"/>
        <v>0</v>
      </c>
      <c r="X111" s="13">
        <f t="shared" si="54"/>
        <v>0</v>
      </c>
      <c r="Y111" s="4">
        <f t="shared" si="55"/>
        <v>0</v>
      </c>
    </row>
    <row r="112" spans="6:25">
      <c r="F112">
        <v>101</v>
      </c>
      <c r="G112" s="11">
        <f t="shared" si="56"/>
        <v>0</v>
      </c>
      <c r="H112" s="11">
        <f t="shared" si="39"/>
        <v>0</v>
      </c>
      <c r="I112" s="11">
        <f t="shared" si="57"/>
        <v>0</v>
      </c>
      <c r="J112" s="11">
        <f t="shared" si="58"/>
        <v>0</v>
      </c>
      <c r="K112" s="11">
        <f t="shared" si="59"/>
        <v>0</v>
      </c>
      <c r="M112">
        <v>101</v>
      </c>
      <c r="N112" s="13">
        <f t="shared" si="46"/>
        <v>0</v>
      </c>
      <c r="O112" s="13">
        <f t="shared" si="47"/>
        <v>0</v>
      </c>
      <c r="P112" s="13">
        <f t="shared" si="48"/>
        <v>0</v>
      </c>
      <c r="Q112" s="13">
        <f t="shared" si="49"/>
        <v>0</v>
      </c>
      <c r="R112" s="13">
        <f t="shared" si="50"/>
        <v>0</v>
      </c>
      <c r="T112">
        <v>101</v>
      </c>
      <c r="U112" s="4">
        <f t="shared" si="51"/>
        <v>0</v>
      </c>
      <c r="V112" s="13">
        <f t="shared" si="52"/>
        <v>0</v>
      </c>
      <c r="W112" s="4">
        <f t="shared" si="53"/>
        <v>0</v>
      </c>
      <c r="X112" s="13">
        <f t="shared" si="54"/>
        <v>0</v>
      </c>
      <c r="Y112" s="4">
        <f t="shared" si="55"/>
        <v>0</v>
      </c>
    </row>
    <row r="113" spans="6:25">
      <c r="F113">
        <v>102</v>
      </c>
      <c r="G113" s="11">
        <f t="shared" si="56"/>
        <v>0</v>
      </c>
      <c r="H113" s="11">
        <f t="shared" si="39"/>
        <v>0</v>
      </c>
      <c r="I113" s="11">
        <f t="shared" si="57"/>
        <v>0</v>
      </c>
      <c r="J113" s="11">
        <f t="shared" si="58"/>
        <v>0</v>
      </c>
      <c r="K113" s="11">
        <f t="shared" si="59"/>
        <v>0</v>
      </c>
      <c r="M113">
        <v>102</v>
      </c>
      <c r="N113" s="13">
        <f t="shared" si="46"/>
        <v>0</v>
      </c>
      <c r="O113" s="13">
        <f t="shared" si="47"/>
        <v>0</v>
      </c>
      <c r="P113" s="13">
        <f t="shared" si="48"/>
        <v>0</v>
      </c>
      <c r="Q113" s="13">
        <f t="shared" si="49"/>
        <v>0</v>
      </c>
      <c r="R113" s="13">
        <f t="shared" si="50"/>
        <v>0</v>
      </c>
      <c r="T113">
        <v>102</v>
      </c>
      <c r="U113" s="4">
        <f>Y112</f>
        <v>0</v>
      </c>
      <c r="V113" s="13">
        <f>$U$10</f>
        <v>0</v>
      </c>
      <c r="W113" s="4">
        <f>U113*$U$9</f>
        <v>0</v>
      </c>
      <c r="X113" s="13">
        <f>V113-W113</f>
        <v>0</v>
      </c>
      <c r="Y113" s="4">
        <f>U113-X113</f>
        <v>0</v>
      </c>
    </row>
    <row r="114" spans="6:25">
      <c r="F114">
        <v>103</v>
      </c>
      <c r="G114" s="11">
        <f t="shared" si="56"/>
        <v>0</v>
      </c>
      <c r="H114" s="11">
        <f t="shared" si="39"/>
        <v>0</v>
      </c>
      <c r="I114" s="11">
        <f t="shared" si="57"/>
        <v>0</v>
      </c>
      <c r="J114" s="11">
        <f t="shared" si="58"/>
        <v>0</v>
      </c>
      <c r="K114" s="11">
        <f t="shared" si="59"/>
        <v>0</v>
      </c>
      <c r="M114">
        <v>103</v>
      </c>
      <c r="N114" s="13">
        <f t="shared" si="46"/>
        <v>0</v>
      </c>
      <c r="O114" s="13">
        <f t="shared" si="47"/>
        <v>0</v>
      </c>
      <c r="P114" s="13">
        <f t="shared" si="48"/>
        <v>0</v>
      </c>
      <c r="Q114" s="13">
        <f t="shared" si="49"/>
        <v>0</v>
      </c>
      <c r="R114" s="13">
        <f t="shared" si="50"/>
        <v>0</v>
      </c>
      <c r="T114">
        <v>103</v>
      </c>
      <c r="U114" s="4">
        <f t="shared" ref="U114:U126" si="60">Y113</f>
        <v>0</v>
      </c>
      <c r="V114" s="13">
        <f t="shared" ref="V114:V126" si="61">$U$10</f>
        <v>0</v>
      </c>
      <c r="W114" s="4">
        <f t="shared" ref="W114:W126" si="62">U114*$U$9</f>
        <v>0</v>
      </c>
      <c r="X114" s="13">
        <f t="shared" ref="X114:X126" si="63">V114-W114</f>
        <v>0</v>
      </c>
      <c r="Y114" s="4">
        <f t="shared" ref="Y114:Y126" si="64">U114-X114</f>
        <v>0</v>
      </c>
    </row>
    <row r="115" spans="6:25">
      <c r="F115">
        <v>104</v>
      </c>
      <c r="G115" s="11">
        <f t="shared" si="56"/>
        <v>0</v>
      </c>
      <c r="H115" s="11">
        <f t="shared" si="39"/>
        <v>0</v>
      </c>
      <c r="I115" s="11">
        <f t="shared" si="57"/>
        <v>0</v>
      </c>
      <c r="J115" s="11">
        <f t="shared" si="58"/>
        <v>0</v>
      </c>
      <c r="K115" s="11">
        <f t="shared" si="59"/>
        <v>0</v>
      </c>
      <c r="M115">
        <v>104</v>
      </c>
      <c r="N115" s="13">
        <f t="shared" si="46"/>
        <v>0</v>
      </c>
      <c r="O115" s="13">
        <f t="shared" si="47"/>
        <v>0</v>
      </c>
      <c r="P115" s="13">
        <f t="shared" si="48"/>
        <v>0</v>
      </c>
      <c r="Q115" s="13">
        <f t="shared" si="49"/>
        <v>0</v>
      </c>
      <c r="R115" s="13">
        <f t="shared" si="50"/>
        <v>0</v>
      </c>
      <c r="T115">
        <v>104</v>
      </c>
      <c r="U115" s="4">
        <f t="shared" si="60"/>
        <v>0</v>
      </c>
      <c r="V115" s="13">
        <f t="shared" si="61"/>
        <v>0</v>
      </c>
      <c r="W115" s="4">
        <f t="shared" si="62"/>
        <v>0</v>
      </c>
      <c r="X115" s="13">
        <f t="shared" si="63"/>
        <v>0</v>
      </c>
      <c r="Y115" s="4">
        <f t="shared" si="64"/>
        <v>0</v>
      </c>
    </row>
    <row r="116" spans="6:25">
      <c r="F116">
        <v>105</v>
      </c>
      <c r="G116" s="11">
        <f t="shared" si="56"/>
        <v>0</v>
      </c>
      <c r="H116" s="11">
        <f t="shared" si="39"/>
        <v>0</v>
      </c>
      <c r="I116" s="11">
        <f t="shared" si="57"/>
        <v>0</v>
      </c>
      <c r="J116" s="11">
        <f t="shared" si="58"/>
        <v>0</v>
      </c>
      <c r="K116" s="11">
        <f t="shared" si="59"/>
        <v>0</v>
      </c>
      <c r="M116">
        <v>105</v>
      </c>
      <c r="N116" s="13">
        <f t="shared" si="46"/>
        <v>0</v>
      </c>
      <c r="O116" s="13">
        <f t="shared" si="47"/>
        <v>0</v>
      </c>
      <c r="P116" s="13">
        <f t="shared" si="48"/>
        <v>0</v>
      </c>
      <c r="Q116" s="13">
        <f t="shared" si="49"/>
        <v>0</v>
      </c>
      <c r="R116" s="13">
        <f t="shared" si="50"/>
        <v>0</v>
      </c>
      <c r="T116">
        <v>105</v>
      </c>
      <c r="U116" s="4">
        <f t="shared" si="60"/>
        <v>0</v>
      </c>
      <c r="V116" s="13">
        <f t="shared" si="61"/>
        <v>0</v>
      </c>
      <c r="W116" s="4">
        <f t="shared" si="62"/>
        <v>0</v>
      </c>
      <c r="X116" s="13">
        <f t="shared" si="63"/>
        <v>0</v>
      </c>
      <c r="Y116" s="4">
        <f t="shared" si="64"/>
        <v>0</v>
      </c>
    </row>
    <row r="117" spans="6:25">
      <c r="F117">
        <v>106</v>
      </c>
      <c r="G117" s="11">
        <f t="shared" si="56"/>
        <v>0</v>
      </c>
      <c r="H117" s="11">
        <f t="shared" si="39"/>
        <v>0</v>
      </c>
      <c r="I117" s="11">
        <f t="shared" si="57"/>
        <v>0</v>
      </c>
      <c r="J117" s="11">
        <f t="shared" si="58"/>
        <v>0</v>
      </c>
      <c r="K117" s="11">
        <f t="shared" si="59"/>
        <v>0</v>
      </c>
      <c r="M117">
        <v>106</v>
      </c>
      <c r="N117" s="13">
        <f t="shared" si="46"/>
        <v>0</v>
      </c>
      <c r="O117" s="13">
        <f t="shared" si="47"/>
        <v>0</v>
      </c>
      <c r="P117" s="13">
        <f t="shared" si="48"/>
        <v>0</v>
      </c>
      <c r="Q117" s="13">
        <f t="shared" si="49"/>
        <v>0</v>
      </c>
      <c r="R117" s="13">
        <f t="shared" si="50"/>
        <v>0</v>
      </c>
      <c r="T117">
        <v>106</v>
      </c>
      <c r="U117" s="4">
        <f t="shared" si="60"/>
        <v>0</v>
      </c>
      <c r="V117" s="13">
        <f t="shared" si="61"/>
        <v>0</v>
      </c>
      <c r="W117" s="4">
        <f t="shared" si="62"/>
        <v>0</v>
      </c>
      <c r="X117" s="13">
        <f t="shared" si="63"/>
        <v>0</v>
      </c>
      <c r="Y117" s="4">
        <f t="shared" si="64"/>
        <v>0</v>
      </c>
    </row>
    <row r="118" spans="6:25">
      <c r="F118">
        <v>107</v>
      </c>
      <c r="G118" s="11">
        <f t="shared" si="56"/>
        <v>0</v>
      </c>
      <c r="H118" s="11">
        <f t="shared" si="39"/>
        <v>0</v>
      </c>
      <c r="I118" s="11">
        <f t="shared" si="57"/>
        <v>0</v>
      </c>
      <c r="J118" s="11">
        <f t="shared" si="58"/>
        <v>0</v>
      </c>
      <c r="K118" s="11">
        <f t="shared" si="59"/>
        <v>0</v>
      </c>
      <c r="M118">
        <v>107</v>
      </c>
      <c r="N118" s="13">
        <f t="shared" si="46"/>
        <v>0</v>
      </c>
      <c r="O118" s="13">
        <f t="shared" si="47"/>
        <v>0</v>
      </c>
      <c r="P118" s="13">
        <f t="shared" si="48"/>
        <v>0</v>
      </c>
      <c r="Q118" s="13">
        <f t="shared" si="49"/>
        <v>0</v>
      </c>
      <c r="R118" s="13">
        <f t="shared" si="50"/>
        <v>0</v>
      </c>
      <c r="T118">
        <v>107</v>
      </c>
      <c r="U118" s="4">
        <f t="shared" si="60"/>
        <v>0</v>
      </c>
      <c r="V118" s="13">
        <f t="shared" si="61"/>
        <v>0</v>
      </c>
      <c r="W118" s="4">
        <f t="shared" si="62"/>
        <v>0</v>
      </c>
      <c r="X118" s="13">
        <f t="shared" si="63"/>
        <v>0</v>
      </c>
      <c r="Y118" s="4">
        <f t="shared" si="64"/>
        <v>0</v>
      </c>
    </row>
    <row r="119" spans="6:25">
      <c r="F119">
        <v>108</v>
      </c>
      <c r="G119" s="11">
        <f t="shared" si="56"/>
        <v>0</v>
      </c>
      <c r="H119" s="11">
        <f t="shared" si="39"/>
        <v>0</v>
      </c>
      <c r="I119" s="11">
        <f t="shared" si="57"/>
        <v>0</v>
      </c>
      <c r="J119" s="11">
        <f t="shared" si="58"/>
        <v>0</v>
      </c>
      <c r="K119" s="11">
        <f t="shared" si="59"/>
        <v>0</v>
      </c>
      <c r="M119">
        <v>108</v>
      </c>
      <c r="N119" s="13">
        <f t="shared" si="46"/>
        <v>0</v>
      </c>
      <c r="O119" s="13">
        <f t="shared" si="47"/>
        <v>0</v>
      </c>
      <c r="P119" s="13">
        <f t="shared" si="48"/>
        <v>0</v>
      </c>
      <c r="Q119" s="13">
        <f t="shared" si="49"/>
        <v>0</v>
      </c>
      <c r="R119" s="13">
        <f t="shared" si="50"/>
        <v>0</v>
      </c>
      <c r="T119">
        <v>108</v>
      </c>
      <c r="U119" s="4">
        <f t="shared" si="60"/>
        <v>0</v>
      </c>
      <c r="V119" s="13">
        <f t="shared" si="61"/>
        <v>0</v>
      </c>
      <c r="W119" s="4">
        <f t="shared" si="62"/>
        <v>0</v>
      </c>
      <c r="X119" s="13">
        <f t="shared" si="63"/>
        <v>0</v>
      </c>
      <c r="Y119" s="4">
        <f t="shared" si="64"/>
        <v>0</v>
      </c>
    </row>
    <row r="120" spans="6:25">
      <c r="F120">
        <v>109</v>
      </c>
      <c r="G120" s="11">
        <f t="shared" si="56"/>
        <v>0</v>
      </c>
      <c r="H120" s="11">
        <f t="shared" si="39"/>
        <v>0</v>
      </c>
      <c r="I120" s="11">
        <f t="shared" si="57"/>
        <v>0</v>
      </c>
      <c r="J120" s="11">
        <f t="shared" si="58"/>
        <v>0</v>
      </c>
      <c r="K120" s="11">
        <f t="shared" si="59"/>
        <v>0</v>
      </c>
      <c r="M120">
        <v>109</v>
      </c>
      <c r="N120" s="13">
        <f t="shared" si="46"/>
        <v>0</v>
      </c>
      <c r="O120" s="13">
        <f t="shared" si="47"/>
        <v>0</v>
      </c>
      <c r="P120" s="13">
        <f t="shared" si="48"/>
        <v>0</v>
      </c>
      <c r="Q120" s="13">
        <f t="shared" si="49"/>
        <v>0</v>
      </c>
      <c r="R120" s="13">
        <f t="shared" si="50"/>
        <v>0</v>
      </c>
      <c r="T120">
        <v>109</v>
      </c>
      <c r="U120" s="4">
        <f t="shared" si="60"/>
        <v>0</v>
      </c>
      <c r="V120" s="13">
        <f t="shared" si="61"/>
        <v>0</v>
      </c>
      <c r="W120" s="4">
        <f t="shared" si="62"/>
        <v>0</v>
      </c>
      <c r="X120" s="13">
        <f t="shared" si="63"/>
        <v>0</v>
      </c>
      <c r="Y120" s="4">
        <f t="shared" si="64"/>
        <v>0</v>
      </c>
    </row>
    <row r="121" spans="6:25">
      <c r="F121">
        <v>110</v>
      </c>
      <c r="G121" s="11">
        <f t="shared" si="56"/>
        <v>0</v>
      </c>
      <c r="H121" s="11">
        <f t="shared" si="39"/>
        <v>0</v>
      </c>
      <c r="I121" s="11">
        <f t="shared" si="57"/>
        <v>0</v>
      </c>
      <c r="J121" s="11">
        <f t="shared" si="58"/>
        <v>0</v>
      </c>
      <c r="K121" s="11">
        <f t="shared" si="59"/>
        <v>0</v>
      </c>
      <c r="M121">
        <v>110</v>
      </c>
      <c r="N121" s="13">
        <f t="shared" si="46"/>
        <v>0</v>
      </c>
      <c r="O121" s="13">
        <f t="shared" si="47"/>
        <v>0</v>
      </c>
      <c r="P121" s="13">
        <f t="shared" si="48"/>
        <v>0</v>
      </c>
      <c r="Q121" s="13">
        <f t="shared" si="49"/>
        <v>0</v>
      </c>
      <c r="R121" s="13">
        <f t="shared" si="50"/>
        <v>0</v>
      </c>
      <c r="T121">
        <v>110</v>
      </c>
      <c r="U121" s="4">
        <f t="shared" si="60"/>
        <v>0</v>
      </c>
      <c r="V121" s="13">
        <f t="shared" si="61"/>
        <v>0</v>
      </c>
      <c r="W121" s="4">
        <f t="shared" si="62"/>
        <v>0</v>
      </c>
      <c r="X121" s="13">
        <f t="shared" si="63"/>
        <v>0</v>
      </c>
      <c r="Y121" s="4">
        <f t="shared" si="64"/>
        <v>0</v>
      </c>
    </row>
    <row r="122" spans="6:25">
      <c r="F122">
        <v>111</v>
      </c>
      <c r="G122" s="11">
        <f t="shared" si="56"/>
        <v>0</v>
      </c>
      <c r="H122" s="11">
        <f t="shared" si="39"/>
        <v>0</v>
      </c>
      <c r="I122" s="11">
        <f t="shared" si="57"/>
        <v>0</v>
      </c>
      <c r="J122" s="11">
        <f t="shared" si="58"/>
        <v>0</v>
      </c>
      <c r="K122" s="11">
        <f t="shared" si="59"/>
        <v>0</v>
      </c>
      <c r="M122">
        <v>111</v>
      </c>
      <c r="N122" s="13">
        <f t="shared" si="46"/>
        <v>0</v>
      </c>
      <c r="O122" s="13">
        <f t="shared" si="47"/>
        <v>0</v>
      </c>
      <c r="P122" s="13">
        <f t="shared" si="48"/>
        <v>0</v>
      </c>
      <c r="Q122" s="13">
        <f t="shared" si="49"/>
        <v>0</v>
      </c>
      <c r="R122" s="13">
        <f t="shared" si="50"/>
        <v>0</v>
      </c>
      <c r="T122">
        <v>111</v>
      </c>
      <c r="U122" s="4">
        <f t="shared" si="60"/>
        <v>0</v>
      </c>
      <c r="V122" s="13">
        <f t="shared" si="61"/>
        <v>0</v>
      </c>
      <c r="W122" s="4">
        <f t="shared" si="62"/>
        <v>0</v>
      </c>
      <c r="X122" s="13">
        <f t="shared" si="63"/>
        <v>0</v>
      </c>
      <c r="Y122" s="4">
        <f t="shared" si="64"/>
        <v>0</v>
      </c>
    </row>
    <row r="123" spans="6:25">
      <c r="F123">
        <v>112</v>
      </c>
      <c r="G123" s="11">
        <f t="shared" si="56"/>
        <v>0</v>
      </c>
      <c r="H123" s="11">
        <f t="shared" si="39"/>
        <v>0</v>
      </c>
      <c r="I123" s="11">
        <f t="shared" si="57"/>
        <v>0</v>
      </c>
      <c r="J123" s="11">
        <f t="shared" si="58"/>
        <v>0</v>
      </c>
      <c r="K123" s="11">
        <f t="shared" si="59"/>
        <v>0</v>
      </c>
      <c r="M123">
        <v>112</v>
      </c>
      <c r="N123" s="13">
        <f t="shared" si="46"/>
        <v>0</v>
      </c>
      <c r="O123" s="13">
        <f t="shared" si="47"/>
        <v>0</v>
      </c>
      <c r="P123" s="13">
        <f t="shared" si="48"/>
        <v>0</v>
      </c>
      <c r="Q123" s="13">
        <f t="shared" si="49"/>
        <v>0</v>
      </c>
      <c r="R123" s="13">
        <f t="shared" si="50"/>
        <v>0</v>
      </c>
      <c r="T123">
        <v>112</v>
      </c>
      <c r="U123" s="4">
        <f t="shared" si="60"/>
        <v>0</v>
      </c>
      <c r="V123" s="13">
        <f t="shared" si="61"/>
        <v>0</v>
      </c>
      <c r="W123" s="4">
        <f t="shared" si="62"/>
        <v>0</v>
      </c>
      <c r="X123" s="13">
        <f t="shared" si="63"/>
        <v>0</v>
      </c>
      <c r="Y123" s="4">
        <f t="shared" si="64"/>
        <v>0</v>
      </c>
    </row>
    <row r="124" spans="6:25">
      <c r="F124">
        <v>113</v>
      </c>
      <c r="G124" s="11">
        <f t="shared" si="56"/>
        <v>0</v>
      </c>
      <c r="H124" s="11">
        <f t="shared" si="39"/>
        <v>0</v>
      </c>
      <c r="I124" s="11">
        <f t="shared" si="57"/>
        <v>0</v>
      </c>
      <c r="J124" s="11">
        <f t="shared" si="58"/>
        <v>0</v>
      </c>
      <c r="K124" s="11">
        <f t="shared" si="59"/>
        <v>0</v>
      </c>
      <c r="M124">
        <v>113</v>
      </c>
      <c r="N124" s="13">
        <f t="shared" si="46"/>
        <v>0</v>
      </c>
      <c r="O124" s="13">
        <f t="shared" si="47"/>
        <v>0</v>
      </c>
      <c r="P124" s="13">
        <f t="shared" si="48"/>
        <v>0</v>
      </c>
      <c r="Q124" s="13">
        <f t="shared" si="49"/>
        <v>0</v>
      </c>
      <c r="R124" s="13">
        <f t="shared" si="50"/>
        <v>0</v>
      </c>
      <c r="T124">
        <v>113</v>
      </c>
      <c r="U124" s="4">
        <f t="shared" si="60"/>
        <v>0</v>
      </c>
      <c r="V124" s="13">
        <f t="shared" si="61"/>
        <v>0</v>
      </c>
      <c r="W124" s="4">
        <f t="shared" si="62"/>
        <v>0</v>
      </c>
      <c r="X124" s="13">
        <f t="shared" si="63"/>
        <v>0</v>
      </c>
      <c r="Y124" s="4">
        <f t="shared" si="64"/>
        <v>0</v>
      </c>
    </row>
    <row r="125" spans="6:25">
      <c r="F125">
        <v>114</v>
      </c>
      <c r="G125" s="11">
        <f t="shared" si="56"/>
        <v>0</v>
      </c>
      <c r="H125" s="11">
        <f t="shared" si="39"/>
        <v>0</v>
      </c>
      <c r="I125" s="11">
        <f t="shared" si="57"/>
        <v>0</v>
      </c>
      <c r="J125" s="11">
        <f t="shared" si="58"/>
        <v>0</v>
      </c>
      <c r="K125" s="11">
        <f t="shared" si="59"/>
        <v>0</v>
      </c>
      <c r="M125">
        <v>114</v>
      </c>
      <c r="N125" s="13">
        <f t="shared" si="46"/>
        <v>0</v>
      </c>
      <c r="O125" s="13">
        <f t="shared" si="47"/>
        <v>0</v>
      </c>
      <c r="P125" s="13">
        <f t="shared" si="48"/>
        <v>0</v>
      </c>
      <c r="Q125" s="13">
        <f t="shared" si="49"/>
        <v>0</v>
      </c>
      <c r="R125" s="13">
        <f t="shared" si="50"/>
        <v>0</v>
      </c>
      <c r="T125">
        <v>114</v>
      </c>
      <c r="U125" s="4">
        <f t="shared" si="60"/>
        <v>0</v>
      </c>
      <c r="V125" s="13">
        <f t="shared" si="61"/>
        <v>0</v>
      </c>
      <c r="W125" s="4">
        <f t="shared" si="62"/>
        <v>0</v>
      </c>
      <c r="X125" s="13">
        <f t="shared" si="63"/>
        <v>0</v>
      </c>
      <c r="Y125" s="4">
        <f t="shared" si="64"/>
        <v>0</v>
      </c>
    </row>
    <row r="126" spans="6:25">
      <c r="F126">
        <v>115</v>
      </c>
      <c r="G126" s="11">
        <f t="shared" si="56"/>
        <v>0</v>
      </c>
      <c r="H126" s="11">
        <f t="shared" si="39"/>
        <v>0</v>
      </c>
      <c r="I126" s="11">
        <f t="shared" si="57"/>
        <v>0</v>
      </c>
      <c r="J126" s="11">
        <f t="shared" si="58"/>
        <v>0</v>
      </c>
      <c r="K126" s="11">
        <f t="shared" si="59"/>
        <v>0</v>
      </c>
      <c r="M126">
        <v>115</v>
      </c>
      <c r="N126" s="13">
        <f t="shared" si="46"/>
        <v>0</v>
      </c>
      <c r="O126" s="13">
        <f t="shared" si="47"/>
        <v>0</v>
      </c>
      <c r="P126" s="13">
        <f t="shared" si="48"/>
        <v>0</v>
      </c>
      <c r="Q126" s="13">
        <f t="shared" si="49"/>
        <v>0</v>
      </c>
      <c r="R126" s="13">
        <f t="shared" si="50"/>
        <v>0</v>
      </c>
      <c r="T126">
        <v>115</v>
      </c>
      <c r="U126" s="4">
        <f t="shared" si="60"/>
        <v>0</v>
      </c>
      <c r="V126" s="13">
        <f t="shared" si="61"/>
        <v>0</v>
      </c>
      <c r="W126" s="4">
        <f t="shared" si="62"/>
        <v>0</v>
      </c>
      <c r="X126" s="13">
        <f t="shared" si="63"/>
        <v>0</v>
      </c>
      <c r="Y126" s="4">
        <f t="shared" si="64"/>
        <v>0</v>
      </c>
    </row>
    <row r="127" spans="6:25">
      <c r="F127">
        <v>116</v>
      </c>
      <c r="G127" s="11">
        <f t="shared" si="56"/>
        <v>0</v>
      </c>
      <c r="H127" s="11">
        <f t="shared" si="39"/>
        <v>0</v>
      </c>
      <c r="I127" s="11">
        <f t="shared" si="57"/>
        <v>0</v>
      </c>
      <c r="J127" s="11">
        <f t="shared" si="58"/>
        <v>0</v>
      </c>
      <c r="K127" s="11">
        <f t="shared" si="59"/>
        <v>0</v>
      </c>
      <c r="M127">
        <v>116</v>
      </c>
      <c r="N127" s="13">
        <f t="shared" si="46"/>
        <v>0</v>
      </c>
      <c r="O127" s="13">
        <f t="shared" si="47"/>
        <v>0</v>
      </c>
      <c r="P127" s="13">
        <f t="shared" si="48"/>
        <v>0</v>
      </c>
      <c r="Q127" s="13">
        <f t="shared" si="49"/>
        <v>0</v>
      </c>
      <c r="R127" s="13">
        <f t="shared" si="50"/>
        <v>0</v>
      </c>
      <c r="T127">
        <v>116</v>
      </c>
      <c r="U127" s="4">
        <f>Y126</f>
        <v>0</v>
      </c>
      <c r="V127" s="13">
        <f>$U$10</f>
        <v>0</v>
      </c>
      <c r="W127" s="4">
        <f>U127*$U$9</f>
        <v>0</v>
      </c>
      <c r="X127" s="13">
        <f>V127-W127</f>
        <v>0</v>
      </c>
      <c r="Y127" s="4">
        <f>U127-X127</f>
        <v>0</v>
      </c>
    </row>
    <row r="128" spans="6:25">
      <c r="F128">
        <v>117</v>
      </c>
      <c r="G128" s="11">
        <f t="shared" si="56"/>
        <v>0</v>
      </c>
      <c r="H128" s="11">
        <f t="shared" si="39"/>
        <v>0</v>
      </c>
      <c r="I128" s="11">
        <f t="shared" si="57"/>
        <v>0</v>
      </c>
      <c r="J128" s="11">
        <f t="shared" si="58"/>
        <v>0</v>
      </c>
      <c r="K128" s="11">
        <f t="shared" si="59"/>
        <v>0</v>
      </c>
      <c r="M128">
        <v>117</v>
      </c>
      <c r="N128" s="13">
        <f t="shared" si="46"/>
        <v>0</v>
      </c>
      <c r="O128" s="13">
        <f t="shared" si="47"/>
        <v>0</v>
      </c>
      <c r="P128" s="13">
        <f t="shared" si="48"/>
        <v>0</v>
      </c>
      <c r="Q128" s="13">
        <f t="shared" si="49"/>
        <v>0</v>
      </c>
      <c r="R128" s="13">
        <f t="shared" si="50"/>
        <v>0</v>
      </c>
      <c r="T128">
        <v>117</v>
      </c>
      <c r="U128" s="4">
        <f t="shared" ref="U128:U131" si="65">Y127</f>
        <v>0</v>
      </c>
      <c r="V128" s="13">
        <f t="shared" ref="V128:V131" si="66">$U$10</f>
        <v>0</v>
      </c>
      <c r="W128" s="4">
        <f t="shared" ref="W128:W131" si="67">U128*$U$9</f>
        <v>0</v>
      </c>
      <c r="X128" s="13">
        <f t="shared" ref="X128:X131" si="68">V128-W128</f>
        <v>0</v>
      </c>
      <c r="Y128" s="4">
        <f t="shared" ref="Y128:Y131" si="69">U128-X128</f>
        <v>0</v>
      </c>
    </row>
    <row r="129" spans="6:25">
      <c r="F129">
        <v>118</v>
      </c>
      <c r="G129" s="11">
        <f t="shared" si="56"/>
        <v>0</v>
      </c>
      <c r="H129" s="11">
        <f t="shared" si="39"/>
        <v>0</v>
      </c>
      <c r="I129" s="11">
        <f t="shared" si="57"/>
        <v>0</v>
      </c>
      <c r="J129" s="11">
        <f t="shared" si="58"/>
        <v>0</v>
      </c>
      <c r="K129" s="11">
        <f t="shared" si="59"/>
        <v>0</v>
      </c>
      <c r="M129">
        <v>118</v>
      </c>
      <c r="N129" s="13">
        <f t="shared" si="46"/>
        <v>0</v>
      </c>
      <c r="O129" s="13">
        <f t="shared" si="47"/>
        <v>0</v>
      </c>
      <c r="P129" s="13">
        <f t="shared" si="48"/>
        <v>0</v>
      </c>
      <c r="Q129" s="13">
        <f t="shared" si="49"/>
        <v>0</v>
      </c>
      <c r="R129" s="13">
        <f t="shared" si="50"/>
        <v>0</v>
      </c>
      <c r="T129">
        <v>118</v>
      </c>
      <c r="U129" s="4">
        <f t="shared" si="65"/>
        <v>0</v>
      </c>
      <c r="V129" s="13">
        <f t="shared" si="66"/>
        <v>0</v>
      </c>
      <c r="W129" s="4">
        <f t="shared" si="67"/>
        <v>0</v>
      </c>
      <c r="X129" s="13">
        <f t="shared" si="68"/>
        <v>0</v>
      </c>
      <c r="Y129" s="4">
        <f t="shared" si="69"/>
        <v>0</v>
      </c>
    </row>
    <row r="130" spans="6:25">
      <c r="F130">
        <v>119</v>
      </c>
      <c r="G130" s="11">
        <f t="shared" si="56"/>
        <v>0</v>
      </c>
      <c r="H130" s="11">
        <f t="shared" si="39"/>
        <v>0</v>
      </c>
      <c r="I130" s="11">
        <f t="shared" si="57"/>
        <v>0</v>
      </c>
      <c r="J130" s="11">
        <f t="shared" si="58"/>
        <v>0</v>
      </c>
      <c r="K130" s="11">
        <f t="shared" si="59"/>
        <v>0</v>
      </c>
      <c r="M130">
        <v>119</v>
      </c>
      <c r="N130" s="13">
        <f t="shared" si="46"/>
        <v>0</v>
      </c>
      <c r="O130" s="13">
        <f t="shared" si="47"/>
        <v>0</v>
      </c>
      <c r="P130" s="13">
        <f t="shared" si="48"/>
        <v>0</v>
      </c>
      <c r="Q130" s="13">
        <f t="shared" si="49"/>
        <v>0</v>
      </c>
      <c r="R130" s="13">
        <f t="shared" si="50"/>
        <v>0</v>
      </c>
      <c r="T130">
        <v>119</v>
      </c>
      <c r="U130" s="4">
        <f t="shared" si="65"/>
        <v>0</v>
      </c>
      <c r="V130" s="13">
        <f t="shared" si="66"/>
        <v>0</v>
      </c>
      <c r="W130" s="4">
        <f t="shared" si="67"/>
        <v>0</v>
      </c>
      <c r="X130" s="13">
        <f t="shared" si="68"/>
        <v>0</v>
      </c>
      <c r="Y130" s="4">
        <f t="shared" si="69"/>
        <v>0</v>
      </c>
    </row>
    <row r="131" spans="6:25">
      <c r="F131">
        <v>120</v>
      </c>
      <c r="G131" s="11">
        <f t="shared" si="56"/>
        <v>0</v>
      </c>
      <c r="H131" s="11">
        <f t="shared" si="39"/>
        <v>0</v>
      </c>
      <c r="I131" s="11">
        <f t="shared" si="57"/>
        <v>0</v>
      </c>
      <c r="J131" s="11">
        <f t="shared" si="58"/>
        <v>0</v>
      </c>
      <c r="K131" s="11">
        <f t="shared" si="59"/>
        <v>0</v>
      </c>
      <c r="M131">
        <v>120</v>
      </c>
      <c r="N131" s="13">
        <f t="shared" si="46"/>
        <v>0</v>
      </c>
      <c r="O131" s="13">
        <f t="shared" si="47"/>
        <v>0</v>
      </c>
      <c r="P131" s="13">
        <f t="shared" si="48"/>
        <v>0</v>
      </c>
      <c r="Q131" s="13">
        <f t="shared" si="49"/>
        <v>0</v>
      </c>
      <c r="R131" s="13">
        <f t="shared" si="50"/>
        <v>0</v>
      </c>
      <c r="T131">
        <v>120</v>
      </c>
      <c r="U131" s="4">
        <f t="shared" si="65"/>
        <v>0</v>
      </c>
      <c r="V131" s="13">
        <f t="shared" si="66"/>
        <v>0</v>
      </c>
      <c r="W131" s="4">
        <f t="shared" si="67"/>
        <v>0</v>
      </c>
      <c r="X131" s="13">
        <f t="shared" si="68"/>
        <v>0</v>
      </c>
      <c r="Y131" s="4">
        <f t="shared" si="69"/>
        <v>0</v>
      </c>
    </row>
    <row r="132" spans="6:25">
      <c r="F132">
        <v>121</v>
      </c>
      <c r="G132" s="11">
        <f t="shared" si="56"/>
        <v>0</v>
      </c>
      <c r="H132" s="11">
        <f t="shared" si="39"/>
        <v>0</v>
      </c>
      <c r="I132" s="11">
        <f t="shared" si="57"/>
        <v>0</v>
      </c>
      <c r="J132" s="11">
        <f t="shared" si="58"/>
        <v>0</v>
      </c>
      <c r="K132" s="11">
        <f t="shared" si="59"/>
        <v>0</v>
      </c>
      <c r="M132">
        <v>121</v>
      </c>
      <c r="N132" s="13">
        <f t="shared" si="46"/>
        <v>0</v>
      </c>
      <c r="O132" s="13">
        <f t="shared" si="47"/>
        <v>0</v>
      </c>
      <c r="P132" s="13">
        <f t="shared" si="48"/>
        <v>0</v>
      </c>
      <c r="Q132" s="13">
        <f t="shared" si="49"/>
        <v>0</v>
      </c>
      <c r="R132" s="13">
        <f t="shared" si="50"/>
        <v>0</v>
      </c>
      <c r="U132" s="4"/>
      <c r="V132" s="13"/>
      <c r="W132" s="4">
        <f>SUM(W12:W131)</f>
        <v>0</v>
      </c>
      <c r="X132" s="13">
        <f>SUM(X12:X131)</f>
        <v>0</v>
      </c>
      <c r="Y132" s="4"/>
    </row>
    <row r="133" spans="6:25">
      <c r="F133">
        <v>122</v>
      </c>
      <c r="G133" s="11">
        <f t="shared" si="56"/>
        <v>0</v>
      </c>
      <c r="H133" s="11">
        <f t="shared" si="39"/>
        <v>0</v>
      </c>
      <c r="I133" s="11">
        <f t="shared" si="57"/>
        <v>0</v>
      </c>
      <c r="J133" s="11">
        <f t="shared" si="58"/>
        <v>0</v>
      </c>
      <c r="K133" s="11">
        <f t="shared" si="59"/>
        <v>0</v>
      </c>
      <c r="M133">
        <v>122</v>
      </c>
      <c r="N133" s="13">
        <f t="shared" si="46"/>
        <v>0</v>
      </c>
      <c r="O133" s="13">
        <f t="shared" si="47"/>
        <v>0</v>
      </c>
      <c r="P133" s="13">
        <f t="shared" si="48"/>
        <v>0</v>
      </c>
      <c r="Q133" s="13">
        <f t="shared" si="49"/>
        <v>0</v>
      </c>
      <c r="R133" s="13">
        <f t="shared" si="50"/>
        <v>0</v>
      </c>
      <c r="U133" s="4"/>
      <c r="V133" s="13"/>
      <c r="W133" s="4"/>
      <c r="X133" s="13"/>
      <c r="Y133" s="4"/>
    </row>
    <row r="134" spans="6:25">
      <c r="F134">
        <v>123</v>
      </c>
      <c r="G134" s="11">
        <f t="shared" si="56"/>
        <v>0</v>
      </c>
      <c r="H134" s="11">
        <f t="shared" si="39"/>
        <v>0</v>
      </c>
      <c r="I134" s="11">
        <f t="shared" si="57"/>
        <v>0</v>
      </c>
      <c r="J134" s="11">
        <f t="shared" si="58"/>
        <v>0</v>
      </c>
      <c r="K134" s="11">
        <f t="shared" si="59"/>
        <v>0</v>
      </c>
      <c r="M134">
        <v>123</v>
      </c>
      <c r="N134" s="13">
        <f t="shared" si="46"/>
        <v>0</v>
      </c>
      <c r="O134" s="13">
        <f t="shared" si="47"/>
        <v>0</v>
      </c>
      <c r="P134" s="13">
        <f t="shared" si="48"/>
        <v>0</v>
      </c>
      <c r="Q134" s="13">
        <f t="shared" si="49"/>
        <v>0</v>
      </c>
      <c r="R134" s="13">
        <f t="shared" si="50"/>
        <v>0</v>
      </c>
      <c r="U134" s="4"/>
      <c r="V134" s="13"/>
      <c r="W134" s="4"/>
      <c r="X134" s="13"/>
      <c r="Y134" s="4"/>
    </row>
    <row r="135" spans="6:25">
      <c r="F135">
        <v>124</v>
      </c>
      <c r="G135" s="11">
        <f t="shared" si="56"/>
        <v>0</v>
      </c>
      <c r="H135" s="11">
        <f t="shared" si="39"/>
        <v>0</v>
      </c>
      <c r="I135" s="11">
        <f t="shared" si="57"/>
        <v>0</v>
      </c>
      <c r="J135" s="11">
        <f t="shared" si="58"/>
        <v>0</v>
      </c>
      <c r="K135" s="11">
        <f t="shared" si="59"/>
        <v>0</v>
      </c>
      <c r="M135">
        <v>124</v>
      </c>
      <c r="N135" s="13">
        <f t="shared" si="46"/>
        <v>0</v>
      </c>
      <c r="O135" s="13">
        <f t="shared" si="47"/>
        <v>0</v>
      </c>
      <c r="P135" s="13">
        <f t="shared" si="48"/>
        <v>0</v>
      </c>
      <c r="Q135" s="13">
        <f t="shared" si="49"/>
        <v>0</v>
      </c>
      <c r="R135" s="13">
        <f t="shared" si="50"/>
        <v>0</v>
      </c>
      <c r="U135" s="4"/>
      <c r="V135" s="13"/>
      <c r="W135" s="4"/>
      <c r="X135" s="13"/>
      <c r="Y135" s="4"/>
    </row>
    <row r="136" spans="6:25">
      <c r="F136">
        <v>125</v>
      </c>
      <c r="G136" s="11">
        <f t="shared" si="56"/>
        <v>0</v>
      </c>
      <c r="H136" s="11">
        <f t="shared" si="39"/>
        <v>0</v>
      </c>
      <c r="I136" s="11">
        <f t="shared" si="57"/>
        <v>0</v>
      </c>
      <c r="J136" s="11">
        <f t="shared" si="58"/>
        <v>0</v>
      </c>
      <c r="K136" s="11">
        <f t="shared" si="59"/>
        <v>0</v>
      </c>
      <c r="M136">
        <v>125</v>
      </c>
      <c r="N136" s="13">
        <f t="shared" si="46"/>
        <v>0</v>
      </c>
      <c r="O136" s="13">
        <f t="shared" si="47"/>
        <v>0</v>
      </c>
      <c r="P136" s="13">
        <f t="shared" si="48"/>
        <v>0</v>
      </c>
      <c r="Q136" s="13">
        <f t="shared" si="49"/>
        <v>0</v>
      </c>
      <c r="R136" s="13">
        <f t="shared" si="50"/>
        <v>0</v>
      </c>
      <c r="U136" s="4"/>
      <c r="V136" s="13"/>
      <c r="W136" s="4"/>
      <c r="X136" s="13"/>
      <c r="Y136" s="4"/>
    </row>
    <row r="137" spans="6:25">
      <c r="F137">
        <v>126</v>
      </c>
      <c r="G137" s="11">
        <f t="shared" si="56"/>
        <v>0</v>
      </c>
      <c r="H137" s="11">
        <f t="shared" si="39"/>
        <v>0</v>
      </c>
      <c r="I137" s="11">
        <f t="shared" si="57"/>
        <v>0</v>
      </c>
      <c r="J137" s="11">
        <f t="shared" si="58"/>
        <v>0</v>
      </c>
      <c r="K137" s="11">
        <f t="shared" si="59"/>
        <v>0</v>
      </c>
      <c r="M137">
        <v>126</v>
      </c>
      <c r="N137" s="13">
        <f t="shared" si="46"/>
        <v>0</v>
      </c>
      <c r="O137" s="13">
        <f t="shared" si="47"/>
        <v>0</v>
      </c>
      <c r="P137" s="13">
        <f t="shared" si="48"/>
        <v>0</v>
      </c>
      <c r="Q137" s="13">
        <f t="shared" si="49"/>
        <v>0</v>
      </c>
      <c r="R137" s="13">
        <f t="shared" si="50"/>
        <v>0</v>
      </c>
      <c r="U137" s="4"/>
      <c r="V137" s="13"/>
      <c r="W137" s="4"/>
      <c r="X137" s="13"/>
      <c r="Y137" s="4"/>
    </row>
    <row r="138" spans="6:25">
      <c r="F138">
        <v>127</v>
      </c>
      <c r="G138" s="11">
        <f t="shared" si="56"/>
        <v>0</v>
      </c>
      <c r="H138" s="11">
        <f t="shared" si="39"/>
        <v>0</v>
      </c>
      <c r="I138" s="11">
        <f t="shared" si="57"/>
        <v>0</v>
      </c>
      <c r="J138" s="11">
        <f t="shared" si="58"/>
        <v>0</v>
      </c>
      <c r="K138" s="11">
        <f t="shared" si="59"/>
        <v>0</v>
      </c>
      <c r="M138">
        <v>127</v>
      </c>
      <c r="N138" s="13">
        <f t="shared" si="46"/>
        <v>0</v>
      </c>
      <c r="O138" s="13">
        <f t="shared" si="47"/>
        <v>0</v>
      </c>
      <c r="P138" s="13">
        <f t="shared" si="48"/>
        <v>0</v>
      </c>
      <c r="Q138" s="13">
        <f t="shared" si="49"/>
        <v>0</v>
      </c>
      <c r="R138" s="13">
        <f t="shared" si="50"/>
        <v>0</v>
      </c>
      <c r="U138" s="4"/>
      <c r="V138" s="13"/>
      <c r="W138" s="4"/>
      <c r="X138" s="13"/>
      <c r="Y138" s="4"/>
    </row>
    <row r="139" spans="6:25">
      <c r="F139">
        <v>128</v>
      </c>
      <c r="G139" s="11">
        <f t="shared" si="56"/>
        <v>0</v>
      </c>
      <c r="H139" s="11">
        <f t="shared" si="39"/>
        <v>0</v>
      </c>
      <c r="I139" s="11">
        <f t="shared" si="57"/>
        <v>0</v>
      </c>
      <c r="J139" s="11">
        <f t="shared" si="58"/>
        <v>0</v>
      </c>
      <c r="K139" s="11">
        <f t="shared" si="59"/>
        <v>0</v>
      </c>
      <c r="M139">
        <v>128</v>
      </c>
      <c r="N139" s="13">
        <f t="shared" si="46"/>
        <v>0</v>
      </c>
      <c r="O139" s="13">
        <f t="shared" si="47"/>
        <v>0</v>
      </c>
      <c r="P139" s="13">
        <f t="shared" si="48"/>
        <v>0</v>
      </c>
      <c r="Q139" s="13">
        <f t="shared" si="49"/>
        <v>0</v>
      </c>
      <c r="R139" s="13">
        <f t="shared" si="50"/>
        <v>0</v>
      </c>
      <c r="U139" s="4"/>
      <c r="V139" s="13"/>
      <c r="W139" s="4"/>
      <c r="X139" s="13"/>
      <c r="Y139" s="4"/>
    </row>
    <row r="140" spans="6:25">
      <c r="F140">
        <v>129</v>
      </c>
      <c r="G140" s="11">
        <f t="shared" si="56"/>
        <v>0</v>
      </c>
      <c r="H140" s="11">
        <f t="shared" si="39"/>
        <v>0</v>
      </c>
      <c r="I140" s="11">
        <f t="shared" si="57"/>
        <v>0</v>
      </c>
      <c r="J140" s="11">
        <f t="shared" si="58"/>
        <v>0</v>
      </c>
      <c r="K140" s="11">
        <f t="shared" si="59"/>
        <v>0</v>
      </c>
      <c r="M140">
        <v>129</v>
      </c>
      <c r="N140" s="13">
        <f t="shared" si="46"/>
        <v>0</v>
      </c>
      <c r="O140" s="13">
        <f t="shared" si="47"/>
        <v>0</v>
      </c>
      <c r="P140" s="13">
        <f t="shared" si="48"/>
        <v>0</v>
      </c>
      <c r="Q140" s="13">
        <f t="shared" si="49"/>
        <v>0</v>
      </c>
      <c r="R140" s="13">
        <f t="shared" si="50"/>
        <v>0</v>
      </c>
      <c r="U140" s="4"/>
      <c r="V140" s="13"/>
      <c r="W140" s="4"/>
      <c r="X140" s="13"/>
      <c r="Y140" s="4"/>
    </row>
    <row r="141" spans="6:25">
      <c r="F141">
        <v>130</v>
      </c>
      <c r="G141" s="11">
        <f t="shared" si="56"/>
        <v>0</v>
      </c>
      <c r="H141" s="11">
        <f t="shared" si="39"/>
        <v>0</v>
      </c>
      <c r="I141" s="11">
        <f t="shared" si="57"/>
        <v>0</v>
      </c>
      <c r="J141" s="11">
        <f t="shared" si="58"/>
        <v>0</v>
      </c>
      <c r="K141" s="11">
        <f t="shared" si="59"/>
        <v>0</v>
      </c>
      <c r="M141">
        <v>130</v>
      </c>
      <c r="N141" s="13">
        <f t="shared" si="46"/>
        <v>0</v>
      </c>
      <c r="O141" s="13">
        <f t="shared" si="47"/>
        <v>0</v>
      </c>
      <c r="P141" s="13">
        <f t="shared" si="48"/>
        <v>0</v>
      </c>
      <c r="Q141" s="13">
        <f t="shared" si="49"/>
        <v>0</v>
      </c>
      <c r="R141" s="13">
        <f t="shared" si="50"/>
        <v>0</v>
      </c>
      <c r="U141" s="4"/>
      <c r="V141" s="13"/>
      <c r="W141" s="4"/>
      <c r="X141" s="13"/>
      <c r="Y141" s="4"/>
    </row>
    <row r="142" spans="6:25">
      <c r="F142">
        <v>131</v>
      </c>
      <c r="G142" s="11">
        <f t="shared" si="56"/>
        <v>0</v>
      </c>
      <c r="H142" s="11">
        <f t="shared" ref="H142:H201" si="70">$H$10</f>
        <v>0</v>
      </c>
      <c r="I142" s="11">
        <f t="shared" si="57"/>
        <v>0</v>
      </c>
      <c r="J142" s="11">
        <f t="shared" si="58"/>
        <v>0</v>
      </c>
      <c r="K142" s="11">
        <f t="shared" si="59"/>
        <v>0</v>
      </c>
      <c r="M142">
        <v>131</v>
      </c>
      <c r="N142" s="13">
        <f t="shared" si="46"/>
        <v>0</v>
      </c>
      <c r="O142" s="13">
        <f t="shared" si="47"/>
        <v>0</v>
      </c>
      <c r="P142" s="13">
        <f t="shared" si="48"/>
        <v>0</v>
      </c>
      <c r="Q142" s="13">
        <f t="shared" si="49"/>
        <v>0</v>
      </c>
      <c r="R142" s="13">
        <f t="shared" si="50"/>
        <v>0</v>
      </c>
      <c r="U142" s="4"/>
      <c r="V142" s="13"/>
      <c r="W142" s="4"/>
      <c r="X142" s="13"/>
      <c r="Y142" s="4"/>
    </row>
    <row r="143" spans="6:25">
      <c r="F143">
        <v>132</v>
      </c>
      <c r="G143" s="11">
        <f t="shared" si="56"/>
        <v>0</v>
      </c>
      <c r="H143" s="11">
        <f t="shared" si="70"/>
        <v>0</v>
      </c>
      <c r="I143" s="11">
        <f t="shared" si="57"/>
        <v>0</v>
      </c>
      <c r="J143" s="11">
        <f t="shared" si="58"/>
        <v>0</v>
      </c>
      <c r="K143" s="11">
        <f t="shared" si="59"/>
        <v>0</v>
      </c>
      <c r="M143">
        <v>132</v>
      </c>
      <c r="N143" s="13">
        <f t="shared" si="46"/>
        <v>0</v>
      </c>
      <c r="O143" s="13">
        <f t="shared" si="47"/>
        <v>0</v>
      </c>
      <c r="P143" s="13">
        <f t="shared" si="48"/>
        <v>0</v>
      </c>
      <c r="Q143" s="13">
        <f t="shared" si="49"/>
        <v>0</v>
      </c>
      <c r="R143" s="13">
        <f t="shared" si="50"/>
        <v>0</v>
      </c>
      <c r="U143" s="4"/>
      <c r="V143" s="13"/>
      <c r="W143" s="4"/>
      <c r="X143" s="13"/>
      <c r="Y143" s="4"/>
    </row>
    <row r="144" spans="6:25">
      <c r="F144">
        <v>133</v>
      </c>
      <c r="G144" s="11">
        <f t="shared" si="56"/>
        <v>0</v>
      </c>
      <c r="H144" s="11">
        <f t="shared" si="70"/>
        <v>0</v>
      </c>
      <c r="I144" s="11">
        <f t="shared" si="57"/>
        <v>0</v>
      </c>
      <c r="J144" s="11">
        <f t="shared" si="58"/>
        <v>0</v>
      </c>
      <c r="K144" s="11">
        <f t="shared" si="59"/>
        <v>0</v>
      </c>
      <c r="M144">
        <v>133</v>
      </c>
      <c r="N144" s="13">
        <f t="shared" si="46"/>
        <v>0</v>
      </c>
      <c r="O144" s="13">
        <f t="shared" si="47"/>
        <v>0</v>
      </c>
      <c r="P144" s="13">
        <f t="shared" si="48"/>
        <v>0</v>
      </c>
      <c r="Q144" s="13">
        <f t="shared" si="49"/>
        <v>0</v>
      </c>
      <c r="R144" s="13">
        <f t="shared" si="50"/>
        <v>0</v>
      </c>
      <c r="U144" s="4"/>
      <c r="V144" s="13"/>
      <c r="W144" s="4"/>
      <c r="X144" s="13"/>
      <c r="Y144" s="4"/>
    </row>
    <row r="145" spans="6:25">
      <c r="F145">
        <v>134</v>
      </c>
      <c r="G145" s="11">
        <f t="shared" si="56"/>
        <v>0</v>
      </c>
      <c r="H145" s="11">
        <f t="shared" si="70"/>
        <v>0</v>
      </c>
      <c r="I145" s="11">
        <f t="shared" si="57"/>
        <v>0</v>
      </c>
      <c r="J145" s="11">
        <f t="shared" si="58"/>
        <v>0</v>
      </c>
      <c r="K145" s="11">
        <f t="shared" si="59"/>
        <v>0</v>
      </c>
      <c r="M145">
        <v>134</v>
      </c>
      <c r="N145" s="13">
        <f t="shared" si="46"/>
        <v>0</v>
      </c>
      <c r="O145" s="13">
        <f t="shared" si="47"/>
        <v>0</v>
      </c>
      <c r="P145" s="13">
        <f t="shared" si="48"/>
        <v>0</v>
      </c>
      <c r="Q145" s="13">
        <f t="shared" si="49"/>
        <v>0</v>
      </c>
      <c r="R145" s="13">
        <f t="shared" si="50"/>
        <v>0</v>
      </c>
      <c r="U145" s="4"/>
      <c r="V145" s="13"/>
      <c r="W145" s="4"/>
      <c r="X145" s="13"/>
      <c r="Y145" s="4"/>
    </row>
    <row r="146" spans="6:25">
      <c r="F146">
        <v>135</v>
      </c>
      <c r="G146" s="11">
        <f t="shared" si="56"/>
        <v>0</v>
      </c>
      <c r="H146" s="11">
        <f t="shared" si="70"/>
        <v>0</v>
      </c>
      <c r="I146" s="11">
        <f t="shared" si="57"/>
        <v>0</v>
      </c>
      <c r="J146" s="11">
        <f t="shared" si="58"/>
        <v>0</v>
      </c>
      <c r="K146" s="11">
        <f t="shared" si="59"/>
        <v>0</v>
      </c>
      <c r="M146">
        <v>135</v>
      </c>
      <c r="N146" s="13">
        <f t="shared" si="46"/>
        <v>0</v>
      </c>
      <c r="O146" s="13">
        <f t="shared" si="47"/>
        <v>0</v>
      </c>
      <c r="P146" s="13">
        <f t="shared" si="48"/>
        <v>0</v>
      </c>
      <c r="Q146" s="13">
        <f t="shared" si="49"/>
        <v>0</v>
      </c>
      <c r="R146" s="13">
        <f t="shared" si="50"/>
        <v>0</v>
      </c>
      <c r="U146" s="4"/>
      <c r="V146" s="13"/>
      <c r="W146" s="4"/>
      <c r="X146" s="13"/>
      <c r="Y146" s="4"/>
    </row>
    <row r="147" spans="6:25">
      <c r="F147">
        <v>136</v>
      </c>
      <c r="G147" s="11">
        <f t="shared" si="56"/>
        <v>0</v>
      </c>
      <c r="H147" s="11">
        <f t="shared" si="70"/>
        <v>0</v>
      </c>
      <c r="I147" s="11">
        <f t="shared" si="57"/>
        <v>0</v>
      </c>
      <c r="J147" s="11">
        <f t="shared" si="58"/>
        <v>0</v>
      </c>
      <c r="K147" s="11">
        <f t="shared" si="59"/>
        <v>0</v>
      </c>
      <c r="M147">
        <v>136</v>
      </c>
      <c r="N147" s="13">
        <f t="shared" si="46"/>
        <v>0</v>
      </c>
      <c r="O147" s="13">
        <f t="shared" si="47"/>
        <v>0</v>
      </c>
      <c r="P147" s="13">
        <f t="shared" si="48"/>
        <v>0</v>
      </c>
      <c r="Q147" s="13">
        <f t="shared" si="49"/>
        <v>0</v>
      </c>
      <c r="R147" s="13">
        <f t="shared" si="50"/>
        <v>0</v>
      </c>
      <c r="U147" s="4"/>
      <c r="V147" s="13"/>
      <c r="W147" s="4"/>
      <c r="X147" s="13"/>
      <c r="Y147" s="4"/>
    </row>
    <row r="148" spans="6:25">
      <c r="F148">
        <v>137</v>
      </c>
      <c r="G148" s="11">
        <f t="shared" si="56"/>
        <v>0</v>
      </c>
      <c r="H148" s="11">
        <f t="shared" si="70"/>
        <v>0</v>
      </c>
      <c r="I148" s="11">
        <f t="shared" si="57"/>
        <v>0</v>
      </c>
      <c r="J148" s="11">
        <f t="shared" si="58"/>
        <v>0</v>
      </c>
      <c r="K148" s="11">
        <f t="shared" si="59"/>
        <v>0</v>
      </c>
      <c r="M148">
        <v>137</v>
      </c>
      <c r="N148" s="13">
        <f t="shared" si="46"/>
        <v>0</v>
      </c>
      <c r="O148" s="13">
        <f t="shared" si="47"/>
        <v>0</v>
      </c>
      <c r="P148" s="13">
        <f t="shared" si="48"/>
        <v>0</v>
      </c>
      <c r="Q148" s="13">
        <f t="shared" si="49"/>
        <v>0</v>
      </c>
      <c r="R148" s="13">
        <f t="shared" si="50"/>
        <v>0</v>
      </c>
      <c r="U148" s="4"/>
      <c r="V148" s="13"/>
      <c r="W148" s="4"/>
      <c r="X148" s="13"/>
      <c r="Y148" s="4"/>
    </row>
    <row r="149" spans="6:25">
      <c r="F149">
        <v>138</v>
      </c>
      <c r="G149" s="11">
        <f t="shared" si="56"/>
        <v>0</v>
      </c>
      <c r="H149" s="11">
        <f t="shared" si="70"/>
        <v>0</v>
      </c>
      <c r="I149" s="11">
        <f t="shared" si="57"/>
        <v>0</v>
      </c>
      <c r="J149" s="11">
        <f t="shared" si="58"/>
        <v>0</v>
      </c>
      <c r="K149" s="11">
        <f t="shared" si="59"/>
        <v>0</v>
      </c>
      <c r="M149">
        <v>138</v>
      </c>
      <c r="N149" s="13">
        <f t="shared" si="46"/>
        <v>0</v>
      </c>
      <c r="O149" s="13">
        <f t="shared" si="47"/>
        <v>0</v>
      </c>
      <c r="P149" s="13">
        <f t="shared" si="48"/>
        <v>0</v>
      </c>
      <c r="Q149" s="13">
        <f t="shared" si="49"/>
        <v>0</v>
      </c>
      <c r="R149" s="13">
        <f t="shared" si="50"/>
        <v>0</v>
      </c>
      <c r="U149" s="4"/>
      <c r="V149" s="13"/>
      <c r="W149" s="4"/>
      <c r="X149" s="13"/>
      <c r="Y149" s="4"/>
    </row>
    <row r="150" spans="6:25">
      <c r="F150">
        <v>139</v>
      </c>
      <c r="G150" s="11">
        <f t="shared" si="56"/>
        <v>0</v>
      </c>
      <c r="H150" s="11">
        <f t="shared" si="70"/>
        <v>0</v>
      </c>
      <c r="I150" s="11">
        <f t="shared" si="57"/>
        <v>0</v>
      </c>
      <c r="J150" s="11">
        <f t="shared" si="58"/>
        <v>0</v>
      </c>
      <c r="K150" s="11">
        <f t="shared" si="59"/>
        <v>0</v>
      </c>
      <c r="M150">
        <v>139</v>
      </c>
      <c r="N150" s="13">
        <f t="shared" si="46"/>
        <v>0</v>
      </c>
      <c r="O150" s="13">
        <f t="shared" si="47"/>
        <v>0</v>
      </c>
      <c r="P150" s="13">
        <f t="shared" si="48"/>
        <v>0</v>
      </c>
      <c r="Q150" s="13">
        <f t="shared" si="49"/>
        <v>0</v>
      </c>
      <c r="R150" s="13">
        <f t="shared" si="50"/>
        <v>0</v>
      </c>
      <c r="U150" s="4"/>
      <c r="V150" s="13"/>
      <c r="W150" s="4"/>
      <c r="X150" s="13"/>
      <c r="Y150" s="4"/>
    </row>
    <row r="151" spans="6:25">
      <c r="F151">
        <v>140</v>
      </c>
      <c r="G151" s="11">
        <f t="shared" si="56"/>
        <v>0</v>
      </c>
      <c r="H151" s="11">
        <f t="shared" si="70"/>
        <v>0</v>
      </c>
      <c r="I151" s="11">
        <f t="shared" si="57"/>
        <v>0</v>
      </c>
      <c r="J151" s="11">
        <f t="shared" si="58"/>
        <v>0</v>
      </c>
      <c r="K151" s="11">
        <f t="shared" si="59"/>
        <v>0</v>
      </c>
      <c r="M151">
        <v>140</v>
      </c>
      <c r="N151" s="13">
        <f t="shared" si="46"/>
        <v>0</v>
      </c>
      <c r="O151" s="13">
        <f t="shared" si="47"/>
        <v>0</v>
      </c>
      <c r="P151" s="13">
        <f t="shared" si="48"/>
        <v>0</v>
      </c>
      <c r="Q151" s="13">
        <f t="shared" si="49"/>
        <v>0</v>
      </c>
      <c r="R151" s="13">
        <f t="shared" si="50"/>
        <v>0</v>
      </c>
      <c r="U151" s="4"/>
      <c r="V151" s="13"/>
      <c r="W151" s="4"/>
      <c r="X151" s="13"/>
      <c r="Y151" s="4"/>
    </row>
    <row r="152" spans="6:25">
      <c r="F152">
        <v>141</v>
      </c>
      <c r="G152" s="11">
        <f t="shared" si="56"/>
        <v>0</v>
      </c>
      <c r="H152" s="11">
        <f t="shared" si="70"/>
        <v>0</v>
      </c>
      <c r="I152" s="11">
        <f t="shared" si="57"/>
        <v>0</v>
      </c>
      <c r="J152" s="11">
        <f t="shared" si="58"/>
        <v>0</v>
      </c>
      <c r="K152" s="11">
        <f t="shared" si="59"/>
        <v>0</v>
      </c>
      <c r="M152">
        <v>141</v>
      </c>
      <c r="N152" s="13">
        <f t="shared" si="46"/>
        <v>0</v>
      </c>
      <c r="O152" s="13">
        <f t="shared" si="47"/>
        <v>0</v>
      </c>
      <c r="P152" s="13">
        <f t="shared" si="48"/>
        <v>0</v>
      </c>
      <c r="Q152" s="13">
        <f t="shared" si="49"/>
        <v>0</v>
      </c>
      <c r="R152" s="13">
        <f t="shared" si="50"/>
        <v>0</v>
      </c>
      <c r="U152" s="4"/>
      <c r="V152" s="13"/>
      <c r="W152" s="4"/>
      <c r="X152" s="13"/>
      <c r="Y152" s="4"/>
    </row>
    <row r="153" spans="6:25">
      <c r="F153">
        <v>142</v>
      </c>
      <c r="G153" s="11">
        <f t="shared" si="56"/>
        <v>0</v>
      </c>
      <c r="H153" s="11">
        <f t="shared" si="70"/>
        <v>0</v>
      </c>
      <c r="I153" s="11">
        <f t="shared" si="57"/>
        <v>0</v>
      </c>
      <c r="J153" s="11">
        <f t="shared" si="58"/>
        <v>0</v>
      </c>
      <c r="K153" s="11">
        <f t="shared" si="59"/>
        <v>0</v>
      </c>
      <c r="M153">
        <v>142</v>
      </c>
      <c r="N153" s="13">
        <f t="shared" si="46"/>
        <v>0</v>
      </c>
      <c r="O153" s="13">
        <f t="shared" si="47"/>
        <v>0</v>
      </c>
      <c r="P153" s="13">
        <f t="shared" si="48"/>
        <v>0</v>
      </c>
      <c r="Q153" s="13">
        <f t="shared" si="49"/>
        <v>0</v>
      </c>
      <c r="R153" s="13">
        <f t="shared" si="50"/>
        <v>0</v>
      </c>
      <c r="U153" s="4"/>
      <c r="V153" s="13"/>
      <c r="W153" s="4"/>
      <c r="X153" s="13"/>
      <c r="Y153" s="4"/>
    </row>
    <row r="154" spans="6:25">
      <c r="F154">
        <v>143</v>
      </c>
      <c r="G154" s="11">
        <f t="shared" si="56"/>
        <v>0</v>
      </c>
      <c r="H154" s="11">
        <f t="shared" si="70"/>
        <v>0</v>
      </c>
      <c r="I154" s="11">
        <f t="shared" si="57"/>
        <v>0</v>
      </c>
      <c r="J154" s="11">
        <f t="shared" si="58"/>
        <v>0</v>
      </c>
      <c r="K154" s="11">
        <f t="shared" si="59"/>
        <v>0</v>
      </c>
      <c r="M154">
        <v>143</v>
      </c>
      <c r="N154" s="13">
        <f t="shared" si="46"/>
        <v>0</v>
      </c>
      <c r="O154" s="13">
        <f t="shared" si="47"/>
        <v>0</v>
      </c>
      <c r="P154" s="13">
        <f t="shared" si="48"/>
        <v>0</v>
      </c>
      <c r="Q154" s="13">
        <f t="shared" si="49"/>
        <v>0</v>
      </c>
      <c r="R154" s="13">
        <f t="shared" si="50"/>
        <v>0</v>
      </c>
    </row>
    <row r="155" spans="6:25">
      <c r="F155">
        <v>144</v>
      </c>
      <c r="G155" s="11">
        <f t="shared" si="56"/>
        <v>0</v>
      </c>
      <c r="H155" s="11">
        <f t="shared" si="70"/>
        <v>0</v>
      </c>
      <c r="I155" s="11">
        <f t="shared" si="57"/>
        <v>0</v>
      </c>
      <c r="J155" s="11">
        <f t="shared" si="58"/>
        <v>0</v>
      </c>
      <c r="K155" s="11">
        <f t="shared" si="59"/>
        <v>0</v>
      </c>
      <c r="M155">
        <v>144</v>
      </c>
      <c r="N155" s="13">
        <f t="shared" si="46"/>
        <v>0</v>
      </c>
      <c r="O155" s="13">
        <f t="shared" si="47"/>
        <v>0</v>
      </c>
      <c r="P155" s="13">
        <f t="shared" si="48"/>
        <v>0</v>
      </c>
      <c r="Q155" s="13">
        <f t="shared" si="49"/>
        <v>0</v>
      </c>
      <c r="R155" s="13">
        <f t="shared" si="50"/>
        <v>0</v>
      </c>
    </row>
    <row r="156" spans="6:25">
      <c r="F156">
        <v>145</v>
      </c>
      <c r="G156" s="11">
        <f t="shared" si="56"/>
        <v>0</v>
      </c>
      <c r="H156" s="11">
        <f t="shared" si="70"/>
        <v>0</v>
      </c>
      <c r="I156" s="11">
        <f t="shared" si="57"/>
        <v>0</v>
      </c>
      <c r="J156" s="11">
        <f t="shared" si="58"/>
        <v>0</v>
      </c>
      <c r="K156" s="11">
        <f t="shared" si="59"/>
        <v>0</v>
      </c>
      <c r="M156">
        <v>145</v>
      </c>
      <c r="N156" s="13">
        <f>R155</f>
        <v>0</v>
      </c>
      <c r="O156" s="13">
        <f>$N$10</f>
        <v>0</v>
      </c>
      <c r="P156" s="13">
        <f>N156*$N$9</f>
        <v>0</v>
      </c>
      <c r="Q156" s="13">
        <f>O156-P156</f>
        <v>0</v>
      </c>
      <c r="R156" s="13">
        <f>N156-Q156</f>
        <v>0</v>
      </c>
    </row>
    <row r="157" spans="6:25">
      <c r="F157">
        <v>146</v>
      </c>
      <c r="G157" s="11">
        <f t="shared" si="56"/>
        <v>0</v>
      </c>
      <c r="H157" s="11">
        <f t="shared" si="70"/>
        <v>0</v>
      </c>
      <c r="I157" s="11">
        <f t="shared" si="57"/>
        <v>0</v>
      </c>
      <c r="J157" s="11">
        <f t="shared" si="58"/>
        <v>0</v>
      </c>
      <c r="K157" s="11">
        <f t="shared" si="59"/>
        <v>0</v>
      </c>
      <c r="M157">
        <v>146</v>
      </c>
      <c r="N157" s="13">
        <f t="shared" ref="N157:N186" si="71">R156</f>
        <v>0</v>
      </c>
      <c r="O157" s="13">
        <f t="shared" ref="O157:O186" si="72">$N$10</f>
        <v>0</v>
      </c>
      <c r="P157" s="13">
        <f t="shared" ref="P157:P186" si="73">N157*$N$9</f>
        <v>0</v>
      </c>
      <c r="Q157" s="13">
        <f t="shared" ref="Q157:Q186" si="74">O157-P157</f>
        <v>0</v>
      </c>
      <c r="R157" s="13">
        <f t="shared" ref="R157:R186" si="75">N157-Q157</f>
        <v>0</v>
      </c>
    </row>
    <row r="158" spans="6:25">
      <c r="F158">
        <v>147</v>
      </c>
      <c r="G158" s="11">
        <f t="shared" si="56"/>
        <v>0</v>
      </c>
      <c r="H158" s="11">
        <f t="shared" si="70"/>
        <v>0</v>
      </c>
      <c r="I158" s="11">
        <f t="shared" si="57"/>
        <v>0</v>
      </c>
      <c r="J158" s="11">
        <f t="shared" si="58"/>
        <v>0</v>
      </c>
      <c r="K158" s="11">
        <f t="shared" si="59"/>
        <v>0</v>
      </c>
      <c r="M158">
        <v>147</v>
      </c>
      <c r="N158" s="13">
        <f t="shared" si="71"/>
        <v>0</v>
      </c>
      <c r="O158" s="13">
        <f t="shared" si="72"/>
        <v>0</v>
      </c>
      <c r="P158" s="13">
        <f t="shared" si="73"/>
        <v>0</v>
      </c>
      <c r="Q158" s="13">
        <f t="shared" si="74"/>
        <v>0</v>
      </c>
      <c r="R158" s="13">
        <f t="shared" si="75"/>
        <v>0</v>
      </c>
    </row>
    <row r="159" spans="6:25">
      <c r="F159">
        <v>148</v>
      </c>
      <c r="G159" s="11">
        <f t="shared" si="56"/>
        <v>0</v>
      </c>
      <c r="H159" s="11">
        <f t="shared" si="70"/>
        <v>0</v>
      </c>
      <c r="I159" s="11">
        <f t="shared" si="57"/>
        <v>0</v>
      </c>
      <c r="J159" s="11">
        <f t="shared" si="58"/>
        <v>0</v>
      </c>
      <c r="K159" s="11">
        <f t="shared" si="59"/>
        <v>0</v>
      </c>
      <c r="M159">
        <v>148</v>
      </c>
      <c r="N159" s="13">
        <f t="shared" si="71"/>
        <v>0</v>
      </c>
      <c r="O159" s="13">
        <f t="shared" si="72"/>
        <v>0</v>
      </c>
      <c r="P159" s="13">
        <f t="shared" si="73"/>
        <v>0</v>
      </c>
      <c r="Q159" s="13">
        <f t="shared" si="74"/>
        <v>0</v>
      </c>
      <c r="R159" s="13">
        <f t="shared" si="75"/>
        <v>0</v>
      </c>
    </row>
    <row r="160" spans="6:25">
      <c r="F160">
        <v>149</v>
      </c>
      <c r="G160" s="11">
        <f t="shared" si="56"/>
        <v>0</v>
      </c>
      <c r="H160" s="11">
        <f t="shared" si="70"/>
        <v>0</v>
      </c>
      <c r="I160" s="11">
        <f t="shared" si="57"/>
        <v>0</v>
      </c>
      <c r="J160" s="11">
        <f t="shared" si="58"/>
        <v>0</v>
      </c>
      <c r="K160" s="11">
        <f t="shared" si="59"/>
        <v>0</v>
      </c>
      <c r="M160">
        <v>149</v>
      </c>
      <c r="N160" s="13">
        <f t="shared" si="71"/>
        <v>0</v>
      </c>
      <c r="O160" s="13">
        <f t="shared" si="72"/>
        <v>0</v>
      </c>
      <c r="P160" s="13">
        <f t="shared" si="73"/>
        <v>0</v>
      </c>
      <c r="Q160" s="13">
        <f t="shared" si="74"/>
        <v>0</v>
      </c>
      <c r="R160" s="13">
        <f t="shared" si="75"/>
        <v>0</v>
      </c>
    </row>
    <row r="161" spans="6:18">
      <c r="F161">
        <v>150</v>
      </c>
      <c r="G161" s="11">
        <f t="shared" si="56"/>
        <v>0</v>
      </c>
      <c r="H161" s="11">
        <f t="shared" si="70"/>
        <v>0</v>
      </c>
      <c r="I161" s="11">
        <f t="shared" si="57"/>
        <v>0</v>
      </c>
      <c r="J161" s="11">
        <f t="shared" si="58"/>
        <v>0</v>
      </c>
      <c r="K161" s="11">
        <f t="shared" si="59"/>
        <v>0</v>
      </c>
      <c r="M161">
        <v>150</v>
      </c>
      <c r="N161" s="13">
        <f t="shared" si="71"/>
        <v>0</v>
      </c>
      <c r="O161" s="13">
        <f t="shared" si="72"/>
        <v>0</v>
      </c>
      <c r="P161" s="13">
        <f t="shared" si="73"/>
        <v>0</v>
      </c>
      <c r="Q161" s="13">
        <f t="shared" si="74"/>
        <v>0</v>
      </c>
      <c r="R161" s="13">
        <f t="shared" si="75"/>
        <v>0</v>
      </c>
    </row>
    <row r="162" spans="6:18">
      <c r="F162">
        <v>151</v>
      </c>
      <c r="G162" s="11">
        <f t="shared" si="56"/>
        <v>0</v>
      </c>
      <c r="H162" s="11">
        <f t="shared" si="70"/>
        <v>0</v>
      </c>
      <c r="I162" s="11">
        <f t="shared" si="57"/>
        <v>0</v>
      </c>
      <c r="J162" s="11">
        <f t="shared" si="58"/>
        <v>0</v>
      </c>
      <c r="K162" s="11">
        <f t="shared" si="59"/>
        <v>0</v>
      </c>
      <c r="M162">
        <v>151</v>
      </c>
      <c r="N162" s="13">
        <f t="shared" si="71"/>
        <v>0</v>
      </c>
      <c r="O162" s="13">
        <f t="shared" si="72"/>
        <v>0</v>
      </c>
      <c r="P162" s="13">
        <f t="shared" si="73"/>
        <v>0</v>
      </c>
      <c r="Q162" s="13">
        <f t="shared" si="74"/>
        <v>0</v>
      </c>
      <c r="R162" s="13">
        <f t="shared" si="75"/>
        <v>0</v>
      </c>
    </row>
    <row r="163" spans="6:18">
      <c r="F163">
        <v>152</v>
      </c>
      <c r="G163" s="11">
        <f t="shared" si="56"/>
        <v>0</v>
      </c>
      <c r="H163" s="11">
        <f t="shared" si="70"/>
        <v>0</v>
      </c>
      <c r="I163" s="11">
        <f t="shared" si="57"/>
        <v>0</v>
      </c>
      <c r="J163" s="11">
        <f t="shared" si="58"/>
        <v>0</v>
      </c>
      <c r="K163" s="11">
        <f t="shared" si="59"/>
        <v>0</v>
      </c>
      <c r="M163">
        <v>152</v>
      </c>
      <c r="N163" s="13">
        <f t="shared" si="71"/>
        <v>0</v>
      </c>
      <c r="O163" s="13">
        <f t="shared" si="72"/>
        <v>0</v>
      </c>
      <c r="P163" s="13">
        <f t="shared" si="73"/>
        <v>0</v>
      </c>
      <c r="Q163" s="13">
        <f t="shared" si="74"/>
        <v>0</v>
      </c>
      <c r="R163" s="13">
        <f t="shared" si="75"/>
        <v>0</v>
      </c>
    </row>
    <row r="164" spans="6:18">
      <c r="F164">
        <v>153</v>
      </c>
      <c r="G164" s="11">
        <f t="shared" si="56"/>
        <v>0</v>
      </c>
      <c r="H164" s="11">
        <f t="shared" si="70"/>
        <v>0</v>
      </c>
      <c r="I164" s="11">
        <f t="shared" si="57"/>
        <v>0</v>
      </c>
      <c r="J164" s="11">
        <f t="shared" si="58"/>
        <v>0</v>
      </c>
      <c r="K164" s="11">
        <f t="shared" si="59"/>
        <v>0</v>
      </c>
      <c r="M164">
        <v>153</v>
      </c>
      <c r="N164" s="13">
        <f t="shared" si="71"/>
        <v>0</v>
      </c>
      <c r="O164" s="13">
        <f t="shared" si="72"/>
        <v>0</v>
      </c>
      <c r="P164" s="13">
        <f t="shared" si="73"/>
        <v>0</v>
      </c>
      <c r="Q164" s="13">
        <f t="shared" si="74"/>
        <v>0</v>
      </c>
      <c r="R164" s="13">
        <f t="shared" si="75"/>
        <v>0</v>
      </c>
    </row>
    <row r="165" spans="6:18">
      <c r="F165">
        <v>154</v>
      </c>
      <c r="G165" s="11">
        <f t="shared" si="56"/>
        <v>0</v>
      </c>
      <c r="H165" s="11">
        <f t="shared" si="70"/>
        <v>0</v>
      </c>
      <c r="I165" s="11">
        <f t="shared" si="57"/>
        <v>0</v>
      </c>
      <c r="J165" s="11">
        <f t="shared" si="58"/>
        <v>0</v>
      </c>
      <c r="K165" s="11">
        <f t="shared" si="59"/>
        <v>0</v>
      </c>
      <c r="M165">
        <v>154</v>
      </c>
      <c r="N165" s="13">
        <f t="shared" si="71"/>
        <v>0</v>
      </c>
      <c r="O165" s="13">
        <f t="shared" si="72"/>
        <v>0</v>
      </c>
      <c r="P165" s="13">
        <f t="shared" si="73"/>
        <v>0</v>
      </c>
      <c r="Q165" s="13">
        <f t="shared" si="74"/>
        <v>0</v>
      </c>
      <c r="R165" s="13">
        <f t="shared" si="75"/>
        <v>0</v>
      </c>
    </row>
    <row r="166" spans="6:18">
      <c r="F166">
        <v>155</v>
      </c>
      <c r="G166" s="11">
        <f t="shared" si="56"/>
        <v>0</v>
      </c>
      <c r="H166" s="11">
        <f t="shared" si="70"/>
        <v>0</v>
      </c>
      <c r="I166" s="11">
        <f t="shared" si="57"/>
        <v>0</v>
      </c>
      <c r="J166" s="11">
        <f t="shared" si="58"/>
        <v>0</v>
      </c>
      <c r="K166" s="11">
        <f t="shared" si="59"/>
        <v>0</v>
      </c>
      <c r="M166">
        <v>155</v>
      </c>
      <c r="N166" s="13">
        <f t="shared" si="71"/>
        <v>0</v>
      </c>
      <c r="O166" s="13">
        <f t="shared" si="72"/>
        <v>0</v>
      </c>
      <c r="P166" s="13">
        <f t="shared" si="73"/>
        <v>0</v>
      </c>
      <c r="Q166" s="13">
        <f t="shared" si="74"/>
        <v>0</v>
      </c>
      <c r="R166" s="13">
        <f t="shared" si="75"/>
        <v>0</v>
      </c>
    </row>
    <row r="167" spans="6:18">
      <c r="F167">
        <v>156</v>
      </c>
      <c r="G167" s="11">
        <f t="shared" si="56"/>
        <v>0</v>
      </c>
      <c r="H167" s="11">
        <f t="shared" si="70"/>
        <v>0</v>
      </c>
      <c r="I167" s="11">
        <f t="shared" si="57"/>
        <v>0</v>
      </c>
      <c r="J167" s="11">
        <f t="shared" si="58"/>
        <v>0</v>
      </c>
      <c r="K167" s="11">
        <f t="shared" si="59"/>
        <v>0</v>
      </c>
      <c r="M167">
        <v>156</v>
      </c>
      <c r="N167" s="13">
        <f t="shared" si="71"/>
        <v>0</v>
      </c>
      <c r="O167" s="13">
        <f t="shared" si="72"/>
        <v>0</v>
      </c>
      <c r="P167" s="13">
        <f t="shared" si="73"/>
        <v>0</v>
      </c>
      <c r="Q167" s="13">
        <f t="shared" si="74"/>
        <v>0</v>
      </c>
      <c r="R167" s="13">
        <f t="shared" si="75"/>
        <v>0</v>
      </c>
    </row>
    <row r="168" spans="6:18">
      <c r="F168">
        <v>157</v>
      </c>
      <c r="G168" s="11">
        <f t="shared" ref="G168:G201" si="76">K167</f>
        <v>0</v>
      </c>
      <c r="H168" s="11">
        <f t="shared" si="70"/>
        <v>0</v>
      </c>
      <c r="I168" s="11">
        <f t="shared" ref="I168:I201" si="77">G168*$H$9</f>
        <v>0</v>
      </c>
      <c r="J168" s="11">
        <f t="shared" ref="J168:J201" si="78">H168-I168</f>
        <v>0</v>
      </c>
      <c r="K168" s="11">
        <f t="shared" ref="K168:K201" si="79">G168-J168</f>
        <v>0</v>
      </c>
      <c r="M168">
        <v>157</v>
      </c>
      <c r="N168" s="13">
        <f t="shared" si="71"/>
        <v>0</v>
      </c>
      <c r="O168" s="13">
        <f t="shared" si="72"/>
        <v>0</v>
      </c>
      <c r="P168" s="13">
        <f t="shared" si="73"/>
        <v>0</v>
      </c>
      <c r="Q168" s="13">
        <f t="shared" si="74"/>
        <v>0</v>
      </c>
      <c r="R168" s="13">
        <f t="shared" si="75"/>
        <v>0</v>
      </c>
    </row>
    <row r="169" spans="6:18">
      <c r="F169">
        <v>158</v>
      </c>
      <c r="G169" s="11">
        <f t="shared" si="76"/>
        <v>0</v>
      </c>
      <c r="H169" s="11">
        <f t="shared" si="70"/>
        <v>0</v>
      </c>
      <c r="I169" s="11">
        <f t="shared" si="77"/>
        <v>0</v>
      </c>
      <c r="J169" s="11">
        <f t="shared" si="78"/>
        <v>0</v>
      </c>
      <c r="K169" s="11">
        <f t="shared" si="79"/>
        <v>0</v>
      </c>
      <c r="M169">
        <v>158</v>
      </c>
      <c r="N169" s="13">
        <f t="shared" si="71"/>
        <v>0</v>
      </c>
      <c r="O169" s="13">
        <f t="shared" si="72"/>
        <v>0</v>
      </c>
      <c r="P169" s="13">
        <f t="shared" si="73"/>
        <v>0</v>
      </c>
      <c r="Q169" s="13">
        <f t="shared" si="74"/>
        <v>0</v>
      </c>
      <c r="R169" s="13">
        <f t="shared" si="75"/>
        <v>0</v>
      </c>
    </row>
    <row r="170" spans="6:18">
      <c r="F170">
        <v>159</v>
      </c>
      <c r="G170" s="11">
        <f t="shared" si="76"/>
        <v>0</v>
      </c>
      <c r="H170" s="11">
        <f t="shared" si="70"/>
        <v>0</v>
      </c>
      <c r="I170" s="11">
        <f t="shared" si="77"/>
        <v>0</v>
      </c>
      <c r="J170" s="11">
        <f t="shared" si="78"/>
        <v>0</v>
      </c>
      <c r="K170" s="11">
        <f t="shared" si="79"/>
        <v>0</v>
      </c>
      <c r="M170">
        <v>159</v>
      </c>
      <c r="N170" s="13">
        <f t="shared" si="71"/>
        <v>0</v>
      </c>
      <c r="O170" s="13">
        <f t="shared" si="72"/>
        <v>0</v>
      </c>
      <c r="P170" s="13">
        <f t="shared" si="73"/>
        <v>0</v>
      </c>
      <c r="Q170" s="13">
        <f t="shared" si="74"/>
        <v>0</v>
      </c>
      <c r="R170" s="13">
        <f t="shared" si="75"/>
        <v>0</v>
      </c>
    </row>
    <row r="171" spans="6:18">
      <c r="F171">
        <v>160</v>
      </c>
      <c r="G171" s="11">
        <f t="shared" si="76"/>
        <v>0</v>
      </c>
      <c r="H171" s="11">
        <f t="shared" si="70"/>
        <v>0</v>
      </c>
      <c r="I171" s="11">
        <f t="shared" si="77"/>
        <v>0</v>
      </c>
      <c r="J171" s="11">
        <f t="shared" si="78"/>
        <v>0</v>
      </c>
      <c r="K171" s="11">
        <f t="shared" si="79"/>
        <v>0</v>
      </c>
      <c r="M171">
        <v>160</v>
      </c>
      <c r="N171" s="13">
        <f t="shared" si="71"/>
        <v>0</v>
      </c>
      <c r="O171" s="13">
        <f t="shared" si="72"/>
        <v>0</v>
      </c>
      <c r="P171" s="13">
        <f t="shared" si="73"/>
        <v>0</v>
      </c>
      <c r="Q171" s="13">
        <f t="shared" si="74"/>
        <v>0</v>
      </c>
      <c r="R171" s="13">
        <f t="shared" si="75"/>
        <v>0</v>
      </c>
    </row>
    <row r="172" spans="6:18">
      <c r="F172">
        <v>161</v>
      </c>
      <c r="G172" s="11">
        <f t="shared" si="76"/>
        <v>0</v>
      </c>
      <c r="H172" s="11">
        <f t="shared" si="70"/>
        <v>0</v>
      </c>
      <c r="I172" s="11">
        <f t="shared" si="77"/>
        <v>0</v>
      </c>
      <c r="J172" s="11">
        <f t="shared" si="78"/>
        <v>0</v>
      </c>
      <c r="K172" s="11">
        <f t="shared" si="79"/>
        <v>0</v>
      </c>
      <c r="M172">
        <v>161</v>
      </c>
      <c r="N172" s="13">
        <f t="shared" si="71"/>
        <v>0</v>
      </c>
      <c r="O172" s="13">
        <f t="shared" si="72"/>
        <v>0</v>
      </c>
      <c r="P172" s="13">
        <f t="shared" si="73"/>
        <v>0</v>
      </c>
      <c r="Q172" s="13">
        <f t="shared" si="74"/>
        <v>0</v>
      </c>
      <c r="R172" s="13">
        <f t="shared" si="75"/>
        <v>0</v>
      </c>
    </row>
    <row r="173" spans="6:18">
      <c r="F173">
        <v>162</v>
      </c>
      <c r="G173" s="11">
        <f t="shared" si="76"/>
        <v>0</v>
      </c>
      <c r="H173" s="11">
        <f t="shared" si="70"/>
        <v>0</v>
      </c>
      <c r="I173" s="11">
        <f t="shared" si="77"/>
        <v>0</v>
      </c>
      <c r="J173" s="11">
        <f t="shared" si="78"/>
        <v>0</v>
      </c>
      <c r="K173" s="11">
        <f t="shared" si="79"/>
        <v>0</v>
      </c>
      <c r="M173">
        <v>162</v>
      </c>
      <c r="N173" s="13">
        <f t="shared" si="71"/>
        <v>0</v>
      </c>
      <c r="O173" s="13">
        <f t="shared" si="72"/>
        <v>0</v>
      </c>
      <c r="P173" s="13">
        <f t="shared" si="73"/>
        <v>0</v>
      </c>
      <c r="Q173" s="13">
        <f t="shared" si="74"/>
        <v>0</v>
      </c>
      <c r="R173" s="13">
        <f t="shared" si="75"/>
        <v>0</v>
      </c>
    </row>
    <row r="174" spans="6:18">
      <c r="F174">
        <v>163</v>
      </c>
      <c r="G174" s="11">
        <f t="shared" si="76"/>
        <v>0</v>
      </c>
      <c r="H174" s="11">
        <f t="shared" si="70"/>
        <v>0</v>
      </c>
      <c r="I174" s="11">
        <f t="shared" si="77"/>
        <v>0</v>
      </c>
      <c r="J174" s="11">
        <f t="shared" si="78"/>
        <v>0</v>
      </c>
      <c r="K174" s="11">
        <f t="shared" si="79"/>
        <v>0</v>
      </c>
      <c r="M174">
        <v>163</v>
      </c>
      <c r="N174" s="13">
        <f t="shared" si="71"/>
        <v>0</v>
      </c>
      <c r="O174" s="13">
        <f t="shared" si="72"/>
        <v>0</v>
      </c>
      <c r="P174" s="13">
        <f t="shared" si="73"/>
        <v>0</v>
      </c>
      <c r="Q174" s="13">
        <f t="shared" si="74"/>
        <v>0</v>
      </c>
      <c r="R174" s="13">
        <f t="shared" si="75"/>
        <v>0</v>
      </c>
    </row>
    <row r="175" spans="6:18">
      <c r="F175">
        <v>164</v>
      </c>
      <c r="G175" s="11">
        <f t="shared" si="76"/>
        <v>0</v>
      </c>
      <c r="H175" s="11">
        <f t="shared" si="70"/>
        <v>0</v>
      </c>
      <c r="I175" s="11">
        <f t="shared" si="77"/>
        <v>0</v>
      </c>
      <c r="J175" s="11">
        <f t="shared" si="78"/>
        <v>0</v>
      </c>
      <c r="K175" s="11">
        <f t="shared" si="79"/>
        <v>0</v>
      </c>
      <c r="M175">
        <v>164</v>
      </c>
      <c r="N175" s="13">
        <f t="shared" si="71"/>
        <v>0</v>
      </c>
      <c r="O175" s="13">
        <f t="shared" si="72"/>
        <v>0</v>
      </c>
      <c r="P175" s="13">
        <f t="shared" si="73"/>
        <v>0</v>
      </c>
      <c r="Q175" s="13">
        <f t="shared" si="74"/>
        <v>0</v>
      </c>
      <c r="R175" s="13">
        <f t="shared" si="75"/>
        <v>0</v>
      </c>
    </row>
    <row r="176" spans="6:18">
      <c r="F176">
        <v>165</v>
      </c>
      <c r="G176" s="11">
        <f t="shared" si="76"/>
        <v>0</v>
      </c>
      <c r="H176" s="11">
        <f t="shared" si="70"/>
        <v>0</v>
      </c>
      <c r="I176" s="11">
        <f t="shared" si="77"/>
        <v>0</v>
      </c>
      <c r="J176" s="11">
        <f t="shared" si="78"/>
        <v>0</v>
      </c>
      <c r="K176" s="11">
        <f t="shared" si="79"/>
        <v>0</v>
      </c>
      <c r="M176">
        <v>165</v>
      </c>
      <c r="N176" s="13">
        <f t="shared" si="71"/>
        <v>0</v>
      </c>
      <c r="O176" s="13">
        <f t="shared" si="72"/>
        <v>0</v>
      </c>
      <c r="P176" s="13">
        <f t="shared" si="73"/>
        <v>0</v>
      </c>
      <c r="Q176" s="13">
        <f t="shared" si="74"/>
        <v>0</v>
      </c>
      <c r="R176" s="13">
        <f t="shared" si="75"/>
        <v>0</v>
      </c>
    </row>
    <row r="177" spans="6:18">
      <c r="F177">
        <v>166</v>
      </c>
      <c r="G177" s="11">
        <f t="shared" si="76"/>
        <v>0</v>
      </c>
      <c r="H177" s="11">
        <f t="shared" si="70"/>
        <v>0</v>
      </c>
      <c r="I177" s="11">
        <f t="shared" si="77"/>
        <v>0</v>
      </c>
      <c r="J177" s="11">
        <f t="shared" si="78"/>
        <v>0</v>
      </c>
      <c r="K177" s="11">
        <f t="shared" si="79"/>
        <v>0</v>
      </c>
      <c r="M177">
        <v>166</v>
      </c>
      <c r="N177" s="13">
        <f t="shared" si="71"/>
        <v>0</v>
      </c>
      <c r="O177" s="13">
        <f t="shared" si="72"/>
        <v>0</v>
      </c>
      <c r="P177" s="13">
        <f t="shared" si="73"/>
        <v>0</v>
      </c>
      <c r="Q177" s="13">
        <f t="shared" si="74"/>
        <v>0</v>
      </c>
      <c r="R177" s="13">
        <f t="shared" si="75"/>
        <v>0</v>
      </c>
    </row>
    <row r="178" spans="6:18">
      <c r="F178">
        <v>167</v>
      </c>
      <c r="G178" s="11">
        <f t="shared" si="76"/>
        <v>0</v>
      </c>
      <c r="H178" s="11">
        <f t="shared" si="70"/>
        <v>0</v>
      </c>
      <c r="I178" s="11">
        <f t="shared" si="77"/>
        <v>0</v>
      </c>
      <c r="J178" s="11">
        <f t="shared" si="78"/>
        <v>0</v>
      </c>
      <c r="K178" s="11">
        <f t="shared" si="79"/>
        <v>0</v>
      </c>
      <c r="M178">
        <v>167</v>
      </c>
      <c r="N178" s="13">
        <f t="shared" si="71"/>
        <v>0</v>
      </c>
      <c r="O178" s="13">
        <f t="shared" si="72"/>
        <v>0</v>
      </c>
      <c r="P178" s="13">
        <f t="shared" si="73"/>
        <v>0</v>
      </c>
      <c r="Q178" s="13">
        <f t="shared" si="74"/>
        <v>0</v>
      </c>
      <c r="R178" s="13">
        <f t="shared" si="75"/>
        <v>0</v>
      </c>
    </row>
    <row r="179" spans="6:18">
      <c r="F179">
        <v>168</v>
      </c>
      <c r="G179" s="11">
        <f t="shared" si="76"/>
        <v>0</v>
      </c>
      <c r="H179" s="11">
        <f t="shared" si="70"/>
        <v>0</v>
      </c>
      <c r="I179" s="11">
        <f t="shared" si="77"/>
        <v>0</v>
      </c>
      <c r="J179" s="11">
        <f t="shared" si="78"/>
        <v>0</v>
      </c>
      <c r="K179" s="11">
        <f t="shared" si="79"/>
        <v>0</v>
      </c>
      <c r="M179">
        <v>168</v>
      </c>
      <c r="N179" s="13">
        <f t="shared" si="71"/>
        <v>0</v>
      </c>
      <c r="O179" s="13">
        <f t="shared" si="72"/>
        <v>0</v>
      </c>
      <c r="P179" s="13">
        <f t="shared" si="73"/>
        <v>0</v>
      </c>
      <c r="Q179" s="13">
        <f t="shared" si="74"/>
        <v>0</v>
      </c>
      <c r="R179" s="13">
        <f t="shared" si="75"/>
        <v>0</v>
      </c>
    </row>
    <row r="180" spans="6:18">
      <c r="F180">
        <v>169</v>
      </c>
      <c r="G180" s="11">
        <f t="shared" si="76"/>
        <v>0</v>
      </c>
      <c r="H180" s="11">
        <f t="shared" si="70"/>
        <v>0</v>
      </c>
      <c r="I180" s="11">
        <f t="shared" si="77"/>
        <v>0</v>
      </c>
      <c r="J180" s="11">
        <f t="shared" si="78"/>
        <v>0</v>
      </c>
      <c r="K180" s="11">
        <f t="shared" si="79"/>
        <v>0</v>
      </c>
      <c r="M180">
        <v>169</v>
      </c>
      <c r="N180" s="13">
        <f t="shared" si="71"/>
        <v>0</v>
      </c>
      <c r="O180" s="13">
        <f t="shared" si="72"/>
        <v>0</v>
      </c>
      <c r="P180" s="13">
        <f t="shared" si="73"/>
        <v>0</v>
      </c>
      <c r="Q180" s="13">
        <f t="shared" si="74"/>
        <v>0</v>
      </c>
      <c r="R180" s="13">
        <f t="shared" si="75"/>
        <v>0</v>
      </c>
    </row>
    <row r="181" spans="6:18">
      <c r="F181">
        <v>170</v>
      </c>
      <c r="G181" s="11">
        <f t="shared" si="76"/>
        <v>0</v>
      </c>
      <c r="H181" s="11">
        <f t="shared" si="70"/>
        <v>0</v>
      </c>
      <c r="I181" s="11">
        <f t="shared" si="77"/>
        <v>0</v>
      </c>
      <c r="J181" s="11">
        <f t="shared" si="78"/>
        <v>0</v>
      </c>
      <c r="K181" s="11">
        <f t="shared" si="79"/>
        <v>0</v>
      </c>
      <c r="M181">
        <v>170</v>
      </c>
      <c r="N181" s="13">
        <f t="shared" si="71"/>
        <v>0</v>
      </c>
      <c r="O181" s="13">
        <f t="shared" si="72"/>
        <v>0</v>
      </c>
      <c r="P181" s="13">
        <f t="shared" si="73"/>
        <v>0</v>
      </c>
      <c r="Q181" s="13">
        <f t="shared" si="74"/>
        <v>0</v>
      </c>
      <c r="R181" s="13">
        <f t="shared" si="75"/>
        <v>0</v>
      </c>
    </row>
    <row r="182" spans="6:18">
      <c r="F182">
        <v>171</v>
      </c>
      <c r="G182" s="11">
        <f t="shared" si="76"/>
        <v>0</v>
      </c>
      <c r="H182" s="11">
        <f t="shared" si="70"/>
        <v>0</v>
      </c>
      <c r="I182" s="11">
        <f t="shared" si="77"/>
        <v>0</v>
      </c>
      <c r="J182" s="11">
        <f t="shared" si="78"/>
        <v>0</v>
      </c>
      <c r="K182" s="11">
        <f t="shared" si="79"/>
        <v>0</v>
      </c>
      <c r="M182">
        <v>171</v>
      </c>
      <c r="N182" s="13">
        <f t="shared" si="71"/>
        <v>0</v>
      </c>
      <c r="O182" s="13">
        <f t="shared" si="72"/>
        <v>0</v>
      </c>
      <c r="P182" s="13">
        <f t="shared" si="73"/>
        <v>0</v>
      </c>
      <c r="Q182" s="13">
        <f t="shared" si="74"/>
        <v>0</v>
      </c>
      <c r="R182" s="13">
        <f t="shared" si="75"/>
        <v>0</v>
      </c>
    </row>
    <row r="183" spans="6:18">
      <c r="F183">
        <v>172</v>
      </c>
      <c r="G183" s="11">
        <f t="shared" si="76"/>
        <v>0</v>
      </c>
      <c r="H183" s="11">
        <f t="shared" si="70"/>
        <v>0</v>
      </c>
      <c r="I183" s="11">
        <f t="shared" si="77"/>
        <v>0</v>
      </c>
      <c r="J183" s="11">
        <f t="shared" si="78"/>
        <v>0</v>
      </c>
      <c r="K183" s="11">
        <f t="shared" si="79"/>
        <v>0</v>
      </c>
      <c r="M183">
        <v>172</v>
      </c>
      <c r="N183" s="13">
        <f t="shared" si="71"/>
        <v>0</v>
      </c>
      <c r="O183" s="13">
        <f t="shared" si="72"/>
        <v>0</v>
      </c>
      <c r="P183" s="13">
        <f t="shared" si="73"/>
        <v>0</v>
      </c>
      <c r="Q183" s="13">
        <f t="shared" si="74"/>
        <v>0</v>
      </c>
      <c r="R183" s="13">
        <f t="shared" si="75"/>
        <v>0</v>
      </c>
    </row>
    <row r="184" spans="6:18">
      <c r="F184">
        <v>173</v>
      </c>
      <c r="G184" s="11">
        <f t="shared" si="76"/>
        <v>0</v>
      </c>
      <c r="H184" s="11">
        <f t="shared" si="70"/>
        <v>0</v>
      </c>
      <c r="I184" s="11">
        <f t="shared" si="77"/>
        <v>0</v>
      </c>
      <c r="J184" s="11">
        <f t="shared" si="78"/>
        <v>0</v>
      </c>
      <c r="K184" s="11">
        <f t="shared" si="79"/>
        <v>0</v>
      </c>
      <c r="M184">
        <v>173</v>
      </c>
      <c r="N184" s="13">
        <f t="shared" si="71"/>
        <v>0</v>
      </c>
      <c r="O184" s="13">
        <f t="shared" si="72"/>
        <v>0</v>
      </c>
      <c r="P184" s="13">
        <f t="shared" si="73"/>
        <v>0</v>
      </c>
      <c r="Q184" s="13">
        <f t="shared" si="74"/>
        <v>0</v>
      </c>
      <c r="R184" s="13">
        <f t="shared" si="75"/>
        <v>0</v>
      </c>
    </row>
    <row r="185" spans="6:18">
      <c r="F185">
        <v>174</v>
      </c>
      <c r="G185" s="11">
        <f t="shared" si="76"/>
        <v>0</v>
      </c>
      <c r="H185" s="11">
        <f t="shared" si="70"/>
        <v>0</v>
      </c>
      <c r="I185" s="11">
        <f t="shared" si="77"/>
        <v>0</v>
      </c>
      <c r="J185" s="11">
        <f t="shared" si="78"/>
        <v>0</v>
      </c>
      <c r="K185" s="11">
        <f t="shared" si="79"/>
        <v>0</v>
      </c>
      <c r="M185">
        <v>174</v>
      </c>
      <c r="N185" s="13">
        <f t="shared" si="71"/>
        <v>0</v>
      </c>
      <c r="O185" s="13">
        <f t="shared" si="72"/>
        <v>0</v>
      </c>
      <c r="P185" s="13">
        <f t="shared" si="73"/>
        <v>0</v>
      </c>
      <c r="Q185" s="13">
        <f t="shared" si="74"/>
        <v>0</v>
      </c>
      <c r="R185" s="13">
        <f t="shared" si="75"/>
        <v>0</v>
      </c>
    </row>
    <row r="186" spans="6:18">
      <c r="F186">
        <v>175</v>
      </c>
      <c r="G186" s="11">
        <f t="shared" si="76"/>
        <v>0</v>
      </c>
      <c r="H186" s="11">
        <f t="shared" si="70"/>
        <v>0</v>
      </c>
      <c r="I186" s="11">
        <f t="shared" si="77"/>
        <v>0</v>
      </c>
      <c r="J186" s="11">
        <f t="shared" si="78"/>
        <v>0</v>
      </c>
      <c r="K186" s="11">
        <f t="shared" si="79"/>
        <v>0</v>
      </c>
      <c r="M186">
        <v>175</v>
      </c>
      <c r="N186" s="13">
        <f t="shared" si="71"/>
        <v>0</v>
      </c>
      <c r="O186" s="13">
        <f t="shared" si="72"/>
        <v>0</v>
      </c>
      <c r="P186" s="13">
        <f t="shared" si="73"/>
        <v>0</v>
      </c>
      <c r="Q186" s="13">
        <f t="shared" si="74"/>
        <v>0</v>
      </c>
      <c r="R186" s="13">
        <f t="shared" si="75"/>
        <v>0</v>
      </c>
    </row>
    <row r="187" spans="6:18">
      <c r="F187">
        <v>176</v>
      </c>
      <c r="G187" s="11">
        <f t="shared" si="76"/>
        <v>0</v>
      </c>
      <c r="H187" s="11">
        <f t="shared" si="70"/>
        <v>0</v>
      </c>
      <c r="I187" s="11">
        <f t="shared" si="77"/>
        <v>0</v>
      </c>
      <c r="J187" s="11">
        <f t="shared" si="78"/>
        <v>0</v>
      </c>
      <c r="K187" s="11">
        <f t="shared" si="79"/>
        <v>0</v>
      </c>
      <c r="M187">
        <v>176</v>
      </c>
      <c r="N187" s="13">
        <f>R186</f>
        <v>0</v>
      </c>
      <c r="O187" s="13">
        <f>$N$10</f>
        <v>0</v>
      </c>
      <c r="P187" s="13">
        <f>N187*$N$9</f>
        <v>0</v>
      </c>
      <c r="Q187" s="13">
        <f>O187-P187</f>
        <v>0</v>
      </c>
      <c r="R187" s="13">
        <f>N187-Q187</f>
        <v>0</v>
      </c>
    </row>
    <row r="188" spans="6:18">
      <c r="F188">
        <v>177</v>
      </c>
      <c r="G188" s="11">
        <f t="shared" si="76"/>
        <v>0</v>
      </c>
      <c r="H188" s="11">
        <f t="shared" si="70"/>
        <v>0</v>
      </c>
      <c r="I188" s="11">
        <f t="shared" si="77"/>
        <v>0</v>
      </c>
      <c r="J188" s="11">
        <f t="shared" si="78"/>
        <v>0</v>
      </c>
      <c r="K188" s="11">
        <f t="shared" si="79"/>
        <v>0</v>
      </c>
      <c r="M188">
        <v>177</v>
      </c>
      <c r="N188" s="13">
        <f t="shared" ref="N188:N201" si="80">R187</f>
        <v>0</v>
      </c>
      <c r="O188" s="13">
        <f t="shared" ref="O188:O201" si="81">$N$10</f>
        <v>0</v>
      </c>
      <c r="P188" s="13">
        <f t="shared" ref="P188:P201" si="82">N188*$N$9</f>
        <v>0</v>
      </c>
      <c r="Q188" s="13">
        <f t="shared" ref="Q188:Q201" si="83">O188-P188</f>
        <v>0</v>
      </c>
      <c r="R188" s="13">
        <f t="shared" ref="R188:R201" si="84">N188-Q188</f>
        <v>0</v>
      </c>
    </row>
    <row r="189" spans="6:18">
      <c r="F189">
        <v>178</v>
      </c>
      <c r="G189" s="11">
        <f t="shared" si="76"/>
        <v>0</v>
      </c>
      <c r="H189" s="11">
        <f t="shared" si="70"/>
        <v>0</v>
      </c>
      <c r="I189" s="11">
        <f t="shared" si="77"/>
        <v>0</v>
      </c>
      <c r="J189" s="11">
        <f t="shared" si="78"/>
        <v>0</v>
      </c>
      <c r="K189" s="11">
        <f t="shared" si="79"/>
        <v>0</v>
      </c>
      <c r="M189">
        <v>178</v>
      </c>
      <c r="N189" s="13">
        <f t="shared" si="80"/>
        <v>0</v>
      </c>
      <c r="O189" s="13">
        <f t="shared" si="81"/>
        <v>0</v>
      </c>
      <c r="P189" s="13">
        <f t="shared" si="82"/>
        <v>0</v>
      </c>
      <c r="Q189" s="13">
        <f t="shared" si="83"/>
        <v>0</v>
      </c>
      <c r="R189" s="13">
        <f t="shared" si="84"/>
        <v>0</v>
      </c>
    </row>
    <row r="190" spans="6:18">
      <c r="F190">
        <v>179</v>
      </c>
      <c r="G190" s="11">
        <f t="shared" si="76"/>
        <v>0</v>
      </c>
      <c r="H190" s="11">
        <f t="shared" si="70"/>
        <v>0</v>
      </c>
      <c r="I190" s="11">
        <f t="shared" si="77"/>
        <v>0</v>
      </c>
      <c r="J190" s="11">
        <f t="shared" si="78"/>
        <v>0</v>
      </c>
      <c r="K190" s="11">
        <f t="shared" si="79"/>
        <v>0</v>
      </c>
      <c r="M190">
        <v>179</v>
      </c>
      <c r="N190" s="13">
        <f t="shared" si="80"/>
        <v>0</v>
      </c>
      <c r="O190" s="13">
        <f t="shared" si="81"/>
        <v>0</v>
      </c>
      <c r="P190" s="13">
        <f t="shared" si="82"/>
        <v>0</v>
      </c>
      <c r="Q190" s="13">
        <f t="shared" si="83"/>
        <v>0</v>
      </c>
      <c r="R190" s="13">
        <f t="shared" si="84"/>
        <v>0</v>
      </c>
    </row>
    <row r="191" spans="6:18">
      <c r="F191">
        <v>180</v>
      </c>
      <c r="G191" s="11">
        <f t="shared" si="76"/>
        <v>0</v>
      </c>
      <c r="H191" s="11">
        <f t="shared" si="70"/>
        <v>0</v>
      </c>
      <c r="I191" s="11">
        <f t="shared" si="77"/>
        <v>0</v>
      </c>
      <c r="J191" s="11">
        <f t="shared" si="78"/>
        <v>0</v>
      </c>
      <c r="K191" s="11">
        <f t="shared" si="79"/>
        <v>0</v>
      </c>
      <c r="M191">
        <v>180</v>
      </c>
      <c r="N191" s="13">
        <f t="shared" si="80"/>
        <v>0</v>
      </c>
      <c r="O191" s="13">
        <f t="shared" si="81"/>
        <v>0</v>
      </c>
      <c r="P191" s="13">
        <f t="shared" si="82"/>
        <v>0</v>
      </c>
      <c r="Q191" s="13">
        <f t="shared" si="83"/>
        <v>0</v>
      </c>
      <c r="R191" s="13">
        <f t="shared" si="84"/>
        <v>0</v>
      </c>
    </row>
    <row r="192" spans="6:18">
      <c r="F192">
        <v>181</v>
      </c>
      <c r="G192" s="11">
        <f t="shared" si="76"/>
        <v>0</v>
      </c>
      <c r="H192" s="11">
        <f t="shared" si="70"/>
        <v>0</v>
      </c>
      <c r="I192" s="11">
        <f t="shared" si="77"/>
        <v>0</v>
      </c>
      <c r="J192" s="11">
        <f t="shared" si="78"/>
        <v>0</v>
      </c>
      <c r="K192" s="11">
        <f t="shared" si="79"/>
        <v>0</v>
      </c>
      <c r="M192">
        <v>181</v>
      </c>
      <c r="N192" s="13">
        <f t="shared" si="80"/>
        <v>0</v>
      </c>
      <c r="O192" s="13">
        <f t="shared" si="81"/>
        <v>0</v>
      </c>
      <c r="P192" s="13">
        <f t="shared" si="82"/>
        <v>0</v>
      </c>
      <c r="Q192" s="13">
        <f t="shared" si="83"/>
        <v>0</v>
      </c>
      <c r="R192" s="13">
        <f t="shared" si="84"/>
        <v>0</v>
      </c>
    </row>
    <row r="193" spans="6:18">
      <c r="F193">
        <v>182</v>
      </c>
      <c r="G193" s="11">
        <f t="shared" si="76"/>
        <v>0</v>
      </c>
      <c r="H193" s="11">
        <f t="shared" si="70"/>
        <v>0</v>
      </c>
      <c r="I193" s="11">
        <f t="shared" si="77"/>
        <v>0</v>
      </c>
      <c r="J193" s="11">
        <f t="shared" si="78"/>
        <v>0</v>
      </c>
      <c r="K193" s="11">
        <f t="shared" si="79"/>
        <v>0</v>
      </c>
      <c r="M193">
        <v>182</v>
      </c>
      <c r="N193" s="13">
        <f t="shared" si="80"/>
        <v>0</v>
      </c>
      <c r="O193" s="13">
        <f t="shared" si="81"/>
        <v>0</v>
      </c>
      <c r="P193" s="13">
        <f t="shared" si="82"/>
        <v>0</v>
      </c>
      <c r="Q193" s="13">
        <f t="shared" si="83"/>
        <v>0</v>
      </c>
      <c r="R193" s="13">
        <f t="shared" si="84"/>
        <v>0</v>
      </c>
    </row>
    <row r="194" spans="6:18">
      <c r="F194">
        <v>183</v>
      </c>
      <c r="G194" s="11">
        <f t="shared" si="76"/>
        <v>0</v>
      </c>
      <c r="H194" s="11">
        <f t="shared" si="70"/>
        <v>0</v>
      </c>
      <c r="I194" s="11">
        <f t="shared" si="77"/>
        <v>0</v>
      </c>
      <c r="J194" s="11">
        <f t="shared" si="78"/>
        <v>0</v>
      </c>
      <c r="K194" s="11">
        <f t="shared" si="79"/>
        <v>0</v>
      </c>
      <c r="M194">
        <v>183</v>
      </c>
      <c r="N194" s="13">
        <f t="shared" si="80"/>
        <v>0</v>
      </c>
      <c r="O194" s="13">
        <f t="shared" si="81"/>
        <v>0</v>
      </c>
      <c r="P194" s="13">
        <f t="shared" si="82"/>
        <v>0</v>
      </c>
      <c r="Q194" s="13">
        <f t="shared" si="83"/>
        <v>0</v>
      </c>
      <c r="R194" s="13">
        <f t="shared" si="84"/>
        <v>0</v>
      </c>
    </row>
    <row r="195" spans="6:18">
      <c r="F195">
        <v>184</v>
      </c>
      <c r="G195" s="11">
        <f t="shared" si="76"/>
        <v>0</v>
      </c>
      <c r="H195" s="11">
        <f t="shared" si="70"/>
        <v>0</v>
      </c>
      <c r="I195" s="11">
        <f t="shared" si="77"/>
        <v>0</v>
      </c>
      <c r="J195" s="11">
        <f t="shared" si="78"/>
        <v>0</v>
      </c>
      <c r="K195" s="11">
        <f t="shared" si="79"/>
        <v>0</v>
      </c>
      <c r="M195">
        <v>184</v>
      </c>
      <c r="N195" s="13">
        <f t="shared" si="80"/>
        <v>0</v>
      </c>
      <c r="O195" s="13">
        <f t="shared" si="81"/>
        <v>0</v>
      </c>
      <c r="P195" s="13">
        <f t="shared" si="82"/>
        <v>0</v>
      </c>
      <c r="Q195" s="13">
        <f t="shared" si="83"/>
        <v>0</v>
      </c>
      <c r="R195" s="13">
        <f t="shared" si="84"/>
        <v>0</v>
      </c>
    </row>
    <row r="196" spans="6:18">
      <c r="F196">
        <v>185</v>
      </c>
      <c r="G196" s="11">
        <f t="shared" si="76"/>
        <v>0</v>
      </c>
      <c r="H196" s="11">
        <f t="shared" si="70"/>
        <v>0</v>
      </c>
      <c r="I196" s="11">
        <f t="shared" si="77"/>
        <v>0</v>
      </c>
      <c r="J196" s="11">
        <f t="shared" si="78"/>
        <v>0</v>
      </c>
      <c r="K196" s="11">
        <f t="shared" si="79"/>
        <v>0</v>
      </c>
      <c r="M196">
        <v>185</v>
      </c>
      <c r="N196" s="13">
        <f t="shared" si="80"/>
        <v>0</v>
      </c>
      <c r="O196" s="13">
        <f t="shared" si="81"/>
        <v>0</v>
      </c>
      <c r="P196" s="13">
        <f t="shared" si="82"/>
        <v>0</v>
      </c>
      <c r="Q196" s="13">
        <f t="shared" si="83"/>
        <v>0</v>
      </c>
      <c r="R196" s="13">
        <f t="shared" si="84"/>
        <v>0</v>
      </c>
    </row>
    <row r="197" spans="6:18">
      <c r="F197">
        <v>186</v>
      </c>
      <c r="G197" s="11">
        <f t="shared" si="76"/>
        <v>0</v>
      </c>
      <c r="H197" s="11">
        <f t="shared" si="70"/>
        <v>0</v>
      </c>
      <c r="I197" s="11">
        <f t="shared" si="77"/>
        <v>0</v>
      </c>
      <c r="J197" s="11">
        <f t="shared" si="78"/>
        <v>0</v>
      </c>
      <c r="K197" s="11">
        <f t="shared" si="79"/>
        <v>0</v>
      </c>
      <c r="M197">
        <v>186</v>
      </c>
      <c r="N197" s="13">
        <f t="shared" si="80"/>
        <v>0</v>
      </c>
      <c r="O197" s="13">
        <f t="shared" si="81"/>
        <v>0</v>
      </c>
      <c r="P197" s="13">
        <f t="shared" si="82"/>
        <v>0</v>
      </c>
      <c r="Q197" s="13">
        <f t="shared" si="83"/>
        <v>0</v>
      </c>
      <c r="R197" s="13">
        <f t="shared" si="84"/>
        <v>0</v>
      </c>
    </row>
    <row r="198" spans="6:18">
      <c r="F198">
        <v>187</v>
      </c>
      <c r="G198" s="11">
        <f t="shared" si="76"/>
        <v>0</v>
      </c>
      <c r="H198" s="11">
        <f t="shared" si="70"/>
        <v>0</v>
      </c>
      <c r="I198" s="11">
        <f t="shared" si="77"/>
        <v>0</v>
      </c>
      <c r="J198" s="11">
        <f t="shared" si="78"/>
        <v>0</v>
      </c>
      <c r="K198" s="11">
        <f t="shared" si="79"/>
        <v>0</v>
      </c>
      <c r="M198">
        <v>187</v>
      </c>
      <c r="N198" s="13">
        <f t="shared" si="80"/>
        <v>0</v>
      </c>
      <c r="O198" s="13">
        <f t="shared" si="81"/>
        <v>0</v>
      </c>
      <c r="P198" s="13">
        <f t="shared" si="82"/>
        <v>0</v>
      </c>
      <c r="Q198" s="13">
        <f t="shared" si="83"/>
        <v>0</v>
      </c>
      <c r="R198" s="13">
        <f t="shared" si="84"/>
        <v>0</v>
      </c>
    </row>
    <row r="199" spans="6:18">
      <c r="F199">
        <v>188</v>
      </c>
      <c r="G199" s="11">
        <f t="shared" si="76"/>
        <v>0</v>
      </c>
      <c r="H199" s="11">
        <f t="shared" si="70"/>
        <v>0</v>
      </c>
      <c r="I199" s="11">
        <f t="shared" si="77"/>
        <v>0</v>
      </c>
      <c r="J199" s="11">
        <f t="shared" si="78"/>
        <v>0</v>
      </c>
      <c r="K199" s="11">
        <f t="shared" si="79"/>
        <v>0</v>
      </c>
      <c r="M199">
        <v>188</v>
      </c>
      <c r="N199" s="13">
        <f t="shared" si="80"/>
        <v>0</v>
      </c>
      <c r="O199" s="13">
        <f t="shared" si="81"/>
        <v>0</v>
      </c>
      <c r="P199" s="13">
        <f t="shared" si="82"/>
        <v>0</v>
      </c>
      <c r="Q199" s="13">
        <f t="shared" si="83"/>
        <v>0</v>
      </c>
      <c r="R199" s="13">
        <f t="shared" si="84"/>
        <v>0</v>
      </c>
    </row>
    <row r="200" spans="6:18">
      <c r="F200">
        <v>189</v>
      </c>
      <c r="G200" s="11">
        <f t="shared" si="76"/>
        <v>0</v>
      </c>
      <c r="H200" s="11">
        <f t="shared" si="70"/>
        <v>0</v>
      </c>
      <c r="I200" s="11">
        <f t="shared" si="77"/>
        <v>0</v>
      </c>
      <c r="J200" s="11">
        <f t="shared" si="78"/>
        <v>0</v>
      </c>
      <c r="K200" s="11">
        <f t="shared" si="79"/>
        <v>0</v>
      </c>
      <c r="M200">
        <v>189</v>
      </c>
      <c r="N200" s="13">
        <f t="shared" si="80"/>
        <v>0</v>
      </c>
      <c r="O200" s="13">
        <f t="shared" si="81"/>
        <v>0</v>
      </c>
      <c r="P200" s="13">
        <f t="shared" si="82"/>
        <v>0</v>
      </c>
      <c r="Q200" s="13">
        <f t="shared" si="83"/>
        <v>0</v>
      </c>
      <c r="R200" s="13">
        <f t="shared" si="84"/>
        <v>0</v>
      </c>
    </row>
    <row r="201" spans="6:18">
      <c r="F201">
        <v>190</v>
      </c>
      <c r="G201" s="11">
        <f t="shared" si="76"/>
        <v>0</v>
      </c>
      <c r="H201" s="11">
        <f t="shared" si="70"/>
        <v>0</v>
      </c>
      <c r="I201" s="11">
        <f t="shared" si="77"/>
        <v>0</v>
      </c>
      <c r="J201" s="11">
        <f t="shared" si="78"/>
        <v>0</v>
      </c>
      <c r="K201" s="11">
        <f t="shared" si="79"/>
        <v>0</v>
      </c>
      <c r="M201">
        <v>190</v>
      </c>
      <c r="N201" s="13">
        <f t="shared" si="80"/>
        <v>0</v>
      </c>
      <c r="O201" s="13">
        <f t="shared" si="81"/>
        <v>0</v>
      </c>
      <c r="P201" s="13">
        <f t="shared" si="82"/>
        <v>0</v>
      </c>
      <c r="Q201" s="13">
        <f t="shared" si="83"/>
        <v>0</v>
      </c>
      <c r="R201" s="13">
        <f t="shared" si="84"/>
        <v>0</v>
      </c>
    </row>
    <row r="202" spans="6:18">
      <c r="F202">
        <v>191</v>
      </c>
      <c r="G202" s="11">
        <f>K201</f>
        <v>0</v>
      </c>
      <c r="H202" s="11">
        <f>$H$10</f>
        <v>0</v>
      </c>
      <c r="I202" s="11">
        <f>G202*$H$9</f>
        <v>0</v>
      </c>
      <c r="J202" s="11">
        <f>H202-I202</f>
        <v>0</v>
      </c>
      <c r="K202" s="11">
        <f>G202-J202</f>
        <v>0</v>
      </c>
      <c r="M202">
        <v>191</v>
      </c>
      <c r="N202" s="13">
        <f>R201</f>
        <v>0</v>
      </c>
      <c r="O202" s="13">
        <f>$N$10</f>
        <v>0</v>
      </c>
      <c r="P202" s="13">
        <f>N202*$N$9</f>
        <v>0</v>
      </c>
      <c r="Q202" s="13">
        <f>O202-P202</f>
        <v>0</v>
      </c>
      <c r="R202" s="13">
        <f>N202-Q202</f>
        <v>0</v>
      </c>
    </row>
    <row r="203" spans="6:18">
      <c r="F203">
        <v>192</v>
      </c>
      <c r="G203" s="11">
        <f t="shared" ref="G203:G208" si="85">K202</f>
        <v>0</v>
      </c>
      <c r="H203" s="11">
        <f t="shared" ref="H203:H208" si="86">$H$10</f>
        <v>0</v>
      </c>
      <c r="I203" s="11">
        <f t="shared" ref="I203:I208" si="87">G203*$H$9</f>
        <v>0</v>
      </c>
      <c r="J203" s="11">
        <f t="shared" ref="J203:J208" si="88">H203-I203</f>
        <v>0</v>
      </c>
      <c r="K203" s="11">
        <f t="shared" ref="K203:K208" si="89">G203-J203</f>
        <v>0</v>
      </c>
      <c r="M203">
        <v>192</v>
      </c>
      <c r="N203" s="13">
        <f t="shared" ref="N203:N214" si="90">R202</f>
        <v>0</v>
      </c>
      <c r="O203" s="13">
        <f t="shared" ref="O203:O214" si="91">$N$10</f>
        <v>0</v>
      </c>
      <c r="P203" s="13">
        <f t="shared" ref="P203:P214" si="92">N203*$N$9</f>
        <v>0</v>
      </c>
      <c r="Q203" s="13">
        <f t="shared" ref="Q203:Q214" si="93">O203-P203</f>
        <v>0</v>
      </c>
      <c r="R203" s="13">
        <f t="shared" ref="R203:R214" si="94">N203-Q203</f>
        <v>0</v>
      </c>
    </row>
    <row r="204" spans="6:18">
      <c r="F204">
        <v>193</v>
      </c>
      <c r="G204" s="11">
        <f t="shared" si="85"/>
        <v>0</v>
      </c>
      <c r="H204" s="11">
        <f t="shared" si="86"/>
        <v>0</v>
      </c>
      <c r="I204" s="11">
        <f t="shared" si="87"/>
        <v>0</v>
      </c>
      <c r="J204" s="11">
        <f t="shared" si="88"/>
        <v>0</v>
      </c>
      <c r="K204" s="11">
        <f t="shared" si="89"/>
        <v>0</v>
      </c>
      <c r="M204">
        <v>193</v>
      </c>
      <c r="N204" s="13">
        <f t="shared" si="90"/>
        <v>0</v>
      </c>
      <c r="O204" s="13">
        <f t="shared" si="91"/>
        <v>0</v>
      </c>
      <c r="P204" s="13">
        <f t="shared" si="92"/>
        <v>0</v>
      </c>
      <c r="Q204" s="13">
        <f t="shared" si="93"/>
        <v>0</v>
      </c>
      <c r="R204" s="13">
        <f t="shared" si="94"/>
        <v>0</v>
      </c>
    </row>
    <row r="205" spans="6:18">
      <c r="F205">
        <v>194</v>
      </c>
      <c r="G205" s="11">
        <f t="shared" si="85"/>
        <v>0</v>
      </c>
      <c r="H205" s="11">
        <f t="shared" si="86"/>
        <v>0</v>
      </c>
      <c r="I205" s="11">
        <f t="shared" si="87"/>
        <v>0</v>
      </c>
      <c r="J205" s="11">
        <f t="shared" si="88"/>
        <v>0</v>
      </c>
      <c r="K205" s="11">
        <f t="shared" si="89"/>
        <v>0</v>
      </c>
      <c r="M205">
        <v>194</v>
      </c>
      <c r="N205" s="13">
        <f t="shared" si="90"/>
        <v>0</v>
      </c>
      <c r="O205" s="13">
        <f t="shared" si="91"/>
        <v>0</v>
      </c>
      <c r="P205" s="13">
        <f t="shared" si="92"/>
        <v>0</v>
      </c>
      <c r="Q205" s="13">
        <f t="shared" si="93"/>
        <v>0</v>
      </c>
      <c r="R205" s="13">
        <f t="shared" si="94"/>
        <v>0</v>
      </c>
    </row>
    <row r="206" spans="6:18">
      <c r="F206">
        <v>195</v>
      </c>
      <c r="G206" s="11">
        <f t="shared" si="85"/>
        <v>0</v>
      </c>
      <c r="H206" s="11">
        <f t="shared" si="86"/>
        <v>0</v>
      </c>
      <c r="I206" s="11">
        <f t="shared" si="87"/>
        <v>0</v>
      </c>
      <c r="J206" s="11">
        <f t="shared" si="88"/>
        <v>0</v>
      </c>
      <c r="K206" s="11">
        <f t="shared" si="89"/>
        <v>0</v>
      </c>
      <c r="M206">
        <v>195</v>
      </c>
      <c r="N206" s="13">
        <f t="shared" si="90"/>
        <v>0</v>
      </c>
      <c r="O206" s="13">
        <f t="shared" si="91"/>
        <v>0</v>
      </c>
      <c r="P206" s="13">
        <f t="shared" si="92"/>
        <v>0</v>
      </c>
      <c r="Q206" s="13">
        <f t="shared" si="93"/>
        <v>0</v>
      </c>
      <c r="R206" s="13">
        <f t="shared" si="94"/>
        <v>0</v>
      </c>
    </row>
    <row r="207" spans="6:18">
      <c r="F207">
        <v>196</v>
      </c>
      <c r="G207" s="11">
        <f t="shared" si="85"/>
        <v>0</v>
      </c>
      <c r="H207" s="11">
        <f t="shared" si="86"/>
        <v>0</v>
      </c>
      <c r="I207" s="11">
        <f t="shared" si="87"/>
        <v>0</v>
      </c>
      <c r="J207" s="11">
        <f t="shared" si="88"/>
        <v>0</v>
      </c>
      <c r="K207" s="11">
        <f t="shared" si="89"/>
        <v>0</v>
      </c>
      <c r="M207">
        <v>196</v>
      </c>
      <c r="N207" s="13">
        <f t="shared" si="90"/>
        <v>0</v>
      </c>
      <c r="O207" s="13">
        <f t="shared" si="91"/>
        <v>0</v>
      </c>
      <c r="P207" s="13">
        <f t="shared" si="92"/>
        <v>0</v>
      </c>
      <c r="Q207" s="13">
        <f t="shared" si="93"/>
        <v>0</v>
      </c>
      <c r="R207" s="13">
        <f t="shared" si="94"/>
        <v>0</v>
      </c>
    </row>
    <row r="208" spans="6:18">
      <c r="F208">
        <v>197</v>
      </c>
      <c r="G208" s="11">
        <f t="shared" si="85"/>
        <v>0</v>
      </c>
      <c r="H208" s="11">
        <f t="shared" si="86"/>
        <v>0</v>
      </c>
      <c r="I208" s="11">
        <f t="shared" si="87"/>
        <v>0</v>
      </c>
      <c r="J208" s="11">
        <f t="shared" si="88"/>
        <v>0</v>
      </c>
      <c r="K208" s="11">
        <f t="shared" si="89"/>
        <v>0</v>
      </c>
      <c r="M208">
        <v>197</v>
      </c>
      <c r="N208" s="13">
        <f t="shared" si="90"/>
        <v>0</v>
      </c>
      <c r="O208" s="13">
        <f t="shared" si="91"/>
        <v>0</v>
      </c>
      <c r="P208" s="13">
        <f t="shared" si="92"/>
        <v>0</v>
      </c>
      <c r="Q208" s="13">
        <f t="shared" si="93"/>
        <v>0</v>
      </c>
      <c r="R208" s="13">
        <f t="shared" si="94"/>
        <v>0</v>
      </c>
    </row>
    <row r="209" spans="6:18">
      <c r="F209">
        <v>198</v>
      </c>
      <c r="G209" s="11">
        <f>K208</f>
        <v>0</v>
      </c>
      <c r="H209" s="11">
        <f>$H$10</f>
        <v>0</v>
      </c>
      <c r="I209" s="11">
        <f>G209*$H$9</f>
        <v>0</v>
      </c>
      <c r="J209" s="11">
        <f>H209-I209</f>
        <v>0</v>
      </c>
      <c r="K209" s="11">
        <f>G209-J209</f>
        <v>0</v>
      </c>
      <c r="M209">
        <v>198</v>
      </c>
      <c r="N209" s="13">
        <f t="shared" si="90"/>
        <v>0</v>
      </c>
      <c r="O209" s="13">
        <f t="shared" si="91"/>
        <v>0</v>
      </c>
      <c r="P209" s="13">
        <f t="shared" si="92"/>
        <v>0</v>
      </c>
      <c r="Q209" s="13">
        <f t="shared" si="93"/>
        <v>0</v>
      </c>
      <c r="R209" s="13">
        <f t="shared" si="94"/>
        <v>0</v>
      </c>
    </row>
    <row r="210" spans="6:18">
      <c r="F210">
        <v>199</v>
      </c>
      <c r="G210" s="11">
        <f t="shared" ref="G210:G217" si="95">K209</f>
        <v>0</v>
      </c>
      <c r="H210" s="11">
        <f t="shared" ref="H210:H217" si="96">$H$10</f>
        <v>0</v>
      </c>
      <c r="I210" s="11">
        <f t="shared" ref="I210:I217" si="97">G210*$H$9</f>
        <v>0</v>
      </c>
      <c r="J210" s="11">
        <f t="shared" ref="J210:J217" si="98">H210-I210</f>
        <v>0</v>
      </c>
      <c r="K210" s="11">
        <f t="shared" ref="K210:K217" si="99">G210-J210</f>
        <v>0</v>
      </c>
      <c r="M210">
        <v>199</v>
      </c>
      <c r="N210" s="13">
        <f t="shared" si="90"/>
        <v>0</v>
      </c>
      <c r="O210" s="13">
        <f t="shared" si="91"/>
        <v>0</v>
      </c>
      <c r="P210" s="13">
        <f t="shared" si="92"/>
        <v>0</v>
      </c>
      <c r="Q210" s="13">
        <f t="shared" si="93"/>
        <v>0</v>
      </c>
      <c r="R210" s="13">
        <f t="shared" si="94"/>
        <v>0</v>
      </c>
    </row>
    <row r="211" spans="6:18">
      <c r="F211">
        <v>200</v>
      </c>
      <c r="G211" s="11">
        <f t="shared" si="95"/>
        <v>0</v>
      </c>
      <c r="H211" s="11">
        <f t="shared" si="96"/>
        <v>0</v>
      </c>
      <c r="I211" s="11">
        <f t="shared" si="97"/>
        <v>0</v>
      </c>
      <c r="J211" s="11">
        <f t="shared" si="98"/>
        <v>0</v>
      </c>
      <c r="K211" s="11">
        <f t="shared" si="99"/>
        <v>0</v>
      </c>
      <c r="M211">
        <v>200</v>
      </c>
      <c r="N211" s="13">
        <f t="shared" si="90"/>
        <v>0</v>
      </c>
      <c r="O211" s="13">
        <f t="shared" si="91"/>
        <v>0</v>
      </c>
      <c r="P211" s="13">
        <f t="shared" si="92"/>
        <v>0</v>
      </c>
      <c r="Q211" s="13">
        <f t="shared" si="93"/>
        <v>0</v>
      </c>
      <c r="R211" s="13">
        <f t="shared" si="94"/>
        <v>0</v>
      </c>
    </row>
    <row r="212" spans="6:18">
      <c r="F212">
        <v>201</v>
      </c>
      <c r="G212" s="11">
        <f t="shared" si="95"/>
        <v>0</v>
      </c>
      <c r="H212" s="11">
        <f t="shared" si="96"/>
        <v>0</v>
      </c>
      <c r="I212" s="11">
        <f t="shared" si="97"/>
        <v>0</v>
      </c>
      <c r="J212" s="11">
        <f t="shared" si="98"/>
        <v>0</v>
      </c>
      <c r="K212" s="11">
        <f t="shared" si="99"/>
        <v>0</v>
      </c>
      <c r="M212">
        <v>201</v>
      </c>
      <c r="N212" s="13">
        <f t="shared" si="90"/>
        <v>0</v>
      </c>
      <c r="O212" s="13">
        <f t="shared" si="91"/>
        <v>0</v>
      </c>
      <c r="P212" s="13">
        <f t="shared" si="92"/>
        <v>0</v>
      </c>
      <c r="Q212" s="13">
        <f t="shared" si="93"/>
        <v>0</v>
      </c>
      <c r="R212" s="13">
        <f t="shared" si="94"/>
        <v>0</v>
      </c>
    </row>
    <row r="213" spans="6:18">
      <c r="F213">
        <v>202</v>
      </c>
      <c r="G213" s="11">
        <f t="shared" si="95"/>
        <v>0</v>
      </c>
      <c r="H213" s="11">
        <f t="shared" si="96"/>
        <v>0</v>
      </c>
      <c r="I213" s="11">
        <f t="shared" si="97"/>
        <v>0</v>
      </c>
      <c r="J213" s="11">
        <f t="shared" si="98"/>
        <v>0</v>
      </c>
      <c r="K213" s="11">
        <f t="shared" si="99"/>
        <v>0</v>
      </c>
      <c r="M213">
        <v>202</v>
      </c>
      <c r="N213" s="13">
        <f t="shared" si="90"/>
        <v>0</v>
      </c>
      <c r="O213" s="13">
        <f t="shared" si="91"/>
        <v>0</v>
      </c>
      <c r="P213" s="13">
        <f t="shared" si="92"/>
        <v>0</v>
      </c>
      <c r="Q213" s="13">
        <f t="shared" si="93"/>
        <v>0</v>
      </c>
      <c r="R213" s="13">
        <f t="shared" si="94"/>
        <v>0</v>
      </c>
    </row>
    <row r="214" spans="6:18">
      <c r="F214">
        <v>203</v>
      </c>
      <c r="G214" s="11">
        <f t="shared" si="95"/>
        <v>0</v>
      </c>
      <c r="H214" s="11">
        <f t="shared" si="96"/>
        <v>0</v>
      </c>
      <c r="I214" s="11">
        <f t="shared" si="97"/>
        <v>0</v>
      </c>
      <c r="J214" s="11">
        <f t="shared" si="98"/>
        <v>0</v>
      </c>
      <c r="K214" s="11">
        <f t="shared" si="99"/>
        <v>0</v>
      </c>
      <c r="M214">
        <v>203</v>
      </c>
      <c r="N214" s="13">
        <f t="shared" si="90"/>
        <v>0</v>
      </c>
      <c r="O214" s="13">
        <f t="shared" si="91"/>
        <v>0</v>
      </c>
      <c r="P214" s="13">
        <f t="shared" si="92"/>
        <v>0</v>
      </c>
      <c r="Q214" s="13">
        <f t="shared" si="93"/>
        <v>0</v>
      </c>
      <c r="R214" s="13">
        <f t="shared" si="94"/>
        <v>0</v>
      </c>
    </row>
    <row r="215" spans="6:18">
      <c r="F215">
        <v>204</v>
      </c>
      <c r="G215" s="11">
        <f t="shared" si="95"/>
        <v>0</v>
      </c>
      <c r="H215" s="11">
        <f t="shared" si="96"/>
        <v>0</v>
      </c>
      <c r="I215" s="11">
        <f t="shared" si="97"/>
        <v>0</v>
      </c>
      <c r="J215" s="11">
        <f t="shared" si="98"/>
        <v>0</v>
      </c>
      <c r="K215" s="11">
        <f t="shared" si="99"/>
        <v>0</v>
      </c>
      <c r="M215">
        <v>204</v>
      </c>
      <c r="N215" s="13">
        <f>R214</f>
        <v>0</v>
      </c>
      <c r="O215" s="13">
        <f>$N$10</f>
        <v>0</v>
      </c>
      <c r="P215" s="13">
        <f>N215*$N$9</f>
        <v>0</v>
      </c>
      <c r="Q215" s="13">
        <f>O215-P215</f>
        <v>0</v>
      </c>
      <c r="R215" s="13">
        <f>N215-Q215</f>
        <v>0</v>
      </c>
    </row>
    <row r="216" spans="6:18">
      <c r="F216">
        <v>205</v>
      </c>
      <c r="G216" s="11">
        <f t="shared" si="95"/>
        <v>0</v>
      </c>
      <c r="H216" s="11">
        <f t="shared" si="96"/>
        <v>0</v>
      </c>
      <c r="I216" s="11">
        <f t="shared" si="97"/>
        <v>0</v>
      </c>
      <c r="J216" s="11">
        <f t="shared" si="98"/>
        <v>0</v>
      </c>
      <c r="K216" s="11">
        <f t="shared" si="99"/>
        <v>0</v>
      </c>
      <c r="M216">
        <v>205</v>
      </c>
      <c r="N216" s="13">
        <f t="shared" ref="N216:N226" si="100">R215</f>
        <v>0</v>
      </c>
      <c r="O216" s="13">
        <f t="shared" ref="O216:O226" si="101">$N$10</f>
        <v>0</v>
      </c>
      <c r="P216" s="13">
        <f t="shared" ref="P216:P226" si="102">N216*$N$9</f>
        <v>0</v>
      </c>
      <c r="Q216" s="13">
        <f t="shared" ref="Q216:Q226" si="103">O216-P216</f>
        <v>0</v>
      </c>
      <c r="R216" s="13">
        <f t="shared" ref="R216:R226" si="104">N216-Q216</f>
        <v>0</v>
      </c>
    </row>
    <row r="217" spans="6:18">
      <c r="F217">
        <v>206</v>
      </c>
      <c r="G217" s="11">
        <f t="shared" si="95"/>
        <v>0</v>
      </c>
      <c r="H217" s="11">
        <f t="shared" si="96"/>
        <v>0</v>
      </c>
      <c r="I217" s="11">
        <f t="shared" si="97"/>
        <v>0</v>
      </c>
      <c r="J217" s="11">
        <f t="shared" si="98"/>
        <v>0</v>
      </c>
      <c r="K217" s="11">
        <f t="shared" si="99"/>
        <v>0</v>
      </c>
      <c r="M217">
        <v>206</v>
      </c>
      <c r="N217" s="13">
        <f t="shared" si="100"/>
        <v>0</v>
      </c>
      <c r="O217" s="13">
        <f t="shared" si="101"/>
        <v>0</v>
      </c>
      <c r="P217" s="13">
        <f t="shared" si="102"/>
        <v>0</v>
      </c>
      <c r="Q217" s="13">
        <f t="shared" si="103"/>
        <v>0</v>
      </c>
      <c r="R217" s="13">
        <f t="shared" si="104"/>
        <v>0</v>
      </c>
    </row>
    <row r="218" spans="6:18">
      <c r="F218">
        <v>207</v>
      </c>
      <c r="G218" s="11">
        <f>K217</f>
        <v>0</v>
      </c>
      <c r="H218" s="11">
        <f>$H$10</f>
        <v>0</v>
      </c>
      <c r="I218" s="11">
        <f>G218*$H$9</f>
        <v>0</v>
      </c>
      <c r="J218" s="11">
        <f>H218-I218</f>
        <v>0</v>
      </c>
      <c r="K218" s="11">
        <f>G218-J218</f>
        <v>0</v>
      </c>
      <c r="M218">
        <v>207</v>
      </c>
      <c r="N218" s="13">
        <f t="shared" si="100"/>
        <v>0</v>
      </c>
      <c r="O218" s="13">
        <f t="shared" si="101"/>
        <v>0</v>
      </c>
      <c r="P218" s="13">
        <f t="shared" si="102"/>
        <v>0</v>
      </c>
      <c r="Q218" s="13">
        <f t="shared" si="103"/>
        <v>0</v>
      </c>
      <c r="R218" s="13">
        <f t="shared" si="104"/>
        <v>0</v>
      </c>
    </row>
    <row r="219" spans="6:18">
      <c r="F219">
        <v>208</v>
      </c>
      <c r="G219" s="11">
        <f t="shared" ref="G219:G226" si="105">K218</f>
        <v>0</v>
      </c>
      <c r="H219" s="11">
        <f t="shared" ref="H219:H226" si="106">$H$10</f>
        <v>0</v>
      </c>
      <c r="I219" s="11">
        <f t="shared" ref="I219:I226" si="107">G219*$H$9</f>
        <v>0</v>
      </c>
      <c r="J219" s="11">
        <f t="shared" ref="J219:J226" si="108">H219-I219</f>
        <v>0</v>
      </c>
      <c r="K219" s="11">
        <f t="shared" ref="K219:K226" si="109">G219-J219</f>
        <v>0</v>
      </c>
      <c r="M219">
        <v>208</v>
      </c>
      <c r="N219" s="13">
        <f t="shared" si="100"/>
        <v>0</v>
      </c>
      <c r="O219" s="13">
        <f t="shared" si="101"/>
        <v>0</v>
      </c>
      <c r="P219" s="13">
        <f t="shared" si="102"/>
        <v>0</v>
      </c>
      <c r="Q219" s="13">
        <f t="shared" si="103"/>
        <v>0</v>
      </c>
      <c r="R219" s="13">
        <f t="shared" si="104"/>
        <v>0</v>
      </c>
    </row>
    <row r="220" spans="6:18">
      <c r="F220">
        <v>209</v>
      </c>
      <c r="G220" s="11">
        <f t="shared" si="105"/>
        <v>0</v>
      </c>
      <c r="H220" s="11">
        <f t="shared" si="106"/>
        <v>0</v>
      </c>
      <c r="I220" s="11">
        <f t="shared" si="107"/>
        <v>0</v>
      </c>
      <c r="J220" s="11">
        <f t="shared" si="108"/>
        <v>0</v>
      </c>
      <c r="K220" s="11">
        <f t="shared" si="109"/>
        <v>0</v>
      </c>
      <c r="M220">
        <v>209</v>
      </c>
      <c r="N220" s="13">
        <f t="shared" si="100"/>
        <v>0</v>
      </c>
      <c r="O220" s="13">
        <f t="shared" si="101"/>
        <v>0</v>
      </c>
      <c r="P220" s="13">
        <f t="shared" si="102"/>
        <v>0</v>
      </c>
      <c r="Q220" s="13">
        <f t="shared" si="103"/>
        <v>0</v>
      </c>
      <c r="R220" s="13">
        <f t="shared" si="104"/>
        <v>0</v>
      </c>
    </row>
    <row r="221" spans="6:18">
      <c r="F221">
        <v>210</v>
      </c>
      <c r="G221" s="11">
        <f t="shared" si="105"/>
        <v>0</v>
      </c>
      <c r="H221" s="11">
        <f t="shared" si="106"/>
        <v>0</v>
      </c>
      <c r="I221" s="11">
        <f t="shared" si="107"/>
        <v>0</v>
      </c>
      <c r="J221" s="11">
        <f t="shared" si="108"/>
        <v>0</v>
      </c>
      <c r="K221" s="11">
        <f t="shared" si="109"/>
        <v>0</v>
      </c>
      <c r="M221">
        <v>210</v>
      </c>
      <c r="N221" s="13">
        <f t="shared" si="100"/>
        <v>0</v>
      </c>
      <c r="O221" s="13">
        <f t="shared" si="101"/>
        <v>0</v>
      </c>
      <c r="P221" s="13">
        <f t="shared" si="102"/>
        <v>0</v>
      </c>
      <c r="Q221" s="13">
        <f t="shared" si="103"/>
        <v>0</v>
      </c>
      <c r="R221" s="13">
        <f t="shared" si="104"/>
        <v>0</v>
      </c>
    </row>
    <row r="222" spans="6:18">
      <c r="F222">
        <v>211</v>
      </c>
      <c r="G222" s="11">
        <f t="shared" si="105"/>
        <v>0</v>
      </c>
      <c r="H222" s="11">
        <f t="shared" si="106"/>
        <v>0</v>
      </c>
      <c r="I222" s="11">
        <f t="shared" si="107"/>
        <v>0</v>
      </c>
      <c r="J222" s="11">
        <f t="shared" si="108"/>
        <v>0</v>
      </c>
      <c r="K222" s="11">
        <f t="shared" si="109"/>
        <v>0</v>
      </c>
      <c r="M222">
        <v>211</v>
      </c>
      <c r="N222" s="13">
        <f t="shared" si="100"/>
        <v>0</v>
      </c>
      <c r="O222" s="13">
        <f t="shared" si="101"/>
        <v>0</v>
      </c>
      <c r="P222" s="13">
        <f t="shared" si="102"/>
        <v>0</v>
      </c>
      <c r="Q222" s="13">
        <f t="shared" si="103"/>
        <v>0</v>
      </c>
      <c r="R222" s="13">
        <f t="shared" si="104"/>
        <v>0</v>
      </c>
    </row>
    <row r="223" spans="6:18">
      <c r="F223">
        <v>212</v>
      </c>
      <c r="G223" s="11">
        <f t="shared" si="105"/>
        <v>0</v>
      </c>
      <c r="H223" s="11">
        <f t="shared" si="106"/>
        <v>0</v>
      </c>
      <c r="I223" s="11">
        <f t="shared" si="107"/>
        <v>0</v>
      </c>
      <c r="J223" s="11">
        <f t="shared" si="108"/>
        <v>0</v>
      </c>
      <c r="K223" s="11">
        <f t="shared" si="109"/>
        <v>0</v>
      </c>
      <c r="M223">
        <v>212</v>
      </c>
      <c r="N223" s="13">
        <f t="shared" si="100"/>
        <v>0</v>
      </c>
      <c r="O223" s="13">
        <f t="shared" si="101"/>
        <v>0</v>
      </c>
      <c r="P223" s="13">
        <f t="shared" si="102"/>
        <v>0</v>
      </c>
      <c r="Q223" s="13">
        <f t="shared" si="103"/>
        <v>0</v>
      </c>
      <c r="R223" s="13">
        <f t="shared" si="104"/>
        <v>0</v>
      </c>
    </row>
    <row r="224" spans="6:18">
      <c r="F224">
        <v>213</v>
      </c>
      <c r="G224" s="11">
        <f t="shared" si="105"/>
        <v>0</v>
      </c>
      <c r="H224" s="11">
        <f t="shared" si="106"/>
        <v>0</v>
      </c>
      <c r="I224" s="11">
        <f t="shared" si="107"/>
        <v>0</v>
      </c>
      <c r="J224" s="11">
        <f t="shared" si="108"/>
        <v>0</v>
      </c>
      <c r="K224" s="11">
        <f t="shared" si="109"/>
        <v>0</v>
      </c>
      <c r="M224">
        <v>213</v>
      </c>
      <c r="N224" s="13">
        <f t="shared" si="100"/>
        <v>0</v>
      </c>
      <c r="O224" s="13">
        <f t="shared" si="101"/>
        <v>0</v>
      </c>
      <c r="P224" s="13">
        <f t="shared" si="102"/>
        <v>0</v>
      </c>
      <c r="Q224" s="13">
        <f t="shared" si="103"/>
        <v>0</v>
      </c>
      <c r="R224" s="13">
        <f t="shared" si="104"/>
        <v>0</v>
      </c>
    </row>
    <row r="225" spans="6:18">
      <c r="F225">
        <v>214</v>
      </c>
      <c r="G225" s="11">
        <f t="shared" si="105"/>
        <v>0</v>
      </c>
      <c r="H225" s="11">
        <f t="shared" si="106"/>
        <v>0</v>
      </c>
      <c r="I225" s="11">
        <f t="shared" si="107"/>
        <v>0</v>
      </c>
      <c r="J225" s="11">
        <f t="shared" si="108"/>
        <v>0</v>
      </c>
      <c r="K225" s="11">
        <f t="shared" si="109"/>
        <v>0</v>
      </c>
      <c r="M225">
        <v>214</v>
      </c>
      <c r="N225" s="13">
        <f t="shared" si="100"/>
        <v>0</v>
      </c>
      <c r="O225" s="13">
        <f t="shared" si="101"/>
        <v>0</v>
      </c>
      <c r="P225" s="13">
        <f t="shared" si="102"/>
        <v>0</v>
      </c>
      <c r="Q225" s="13">
        <f t="shared" si="103"/>
        <v>0</v>
      </c>
      <c r="R225" s="13">
        <f t="shared" si="104"/>
        <v>0</v>
      </c>
    </row>
    <row r="226" spans="6:18">
      <c r="F226">
        <v>215</v>
      </c>
      <c r="G226" s="11">
        <f t="shared" si="105"/>
        <v>0</v>
      </c>
      <c r="H226" s="11">
        <f t="shared" si="106"/>
        <v>0</v>
      </c>
      <c r="I226" s="11">
        <f t="shared" si="107"/>
        <v>0</v>
      </c>
      <c r="J226" s="11">
        <f t="shared" si="108"/>
        <v>0</v>
      </c>
      <c r="K226" s="11">
        <f t="shared" si="109"/>
        <v>0</v>
      </c>
      <c r="M226">
        <v>215</v>
      </c>
      <c r="N226" s="13">
        <f t="shared" si="100"/>
        <v>0</v>
      </c>
      <c r="O226" s="13">
        <f t="shared" si="101"/>
        <v>0</v>
      </c>
      <c r="P226" s="13">
        <f t="shared" si="102"/>
        <v>0</v>
      </c>
      <c r="Q226" s="13">
        <f t="shared" si="103"/>
        <v>0</v>
      </c>
      <c r="R226" s="13">
        <f t="shared" si="104"/>
        <v>0</v>
      </c>
    </row>
    <row r="227" spans="6:18">
      <c r="F227">
        <v>216</v>
      </c>
      <c r="G227" s="11">
        <f>K226</f>
        <v>0</v>
      </c>
      <c r="H227" s="11">
        <f>$H$10</f>
        <v>0</v>
      </c>
      <c r="I227" s="11">
        <f>G227*$H$9</f>
        <v>0</v>
      </c>
      <c r="J227" s="11">
        <f>H227-I227</f>
        <v>0</v>
      </c>
      <c r="K227" s="11">
        <f>G227-J227</f>
        <v>0</v>
      </c>
      <c r="M227">
        <v>216</v>
      </c>
      <c r="N227" s="13">
        <f>R226</f>
        <v>0</v>
      </c>
      <c r="O227" s="13">
        <f>$N$10</f>
        <v>0</v>
      </c>
      <c r="P227" s="13">
        <f>N227*$N$9</f>
        <v>0</v>
      </c>
      <c r="Q227" s="13">
        <f>O227-P227</f>
        <v>0</v>
      </c>
      <c r="R227" s="13">
        <f>N227-Q227</f>
        <v>0</v>
      </c>
    </row>
    <row r="228" spans="6:18">
      <c r="F228">
        <v>217</v>
      </c>
      <c r="G228" s="11">
        <f t="shared" ref="G228:G234" si="110">K227</f>
        <v>0</v>
      </c>
      <c r="H228" s="11">
        <f t="shared" ref="H228:H234" si="111">$H$10</f>
        <v>0</v>
      </c>
      <c r="I228" s="11">
        <f t="shared" ref="I228:I234" si="112">G228*$H$9</f>
        <v>0</v>
      </c>
      <c r="J228" s="11">
        <f t="shared" ref="J228:J234" si="113">H228-I228</f>
        <v>0</v>
      </c>
      <c r="K228" s="11">
        <f t="shared" ref="K228:K234" si="114">G228-J228</f>
        <v>0</v>
      </c>
      <c r="M228">
        <v>217</v>
      </c>
      <c r="N228" s="13">
        <f t="shared" ref="N228:N236" si="115">R227</f>
        <v>0</v>
      </c>
      <c r="O228" s="13">
        <f t="shared" ref="O228:O236" si="116">$N$10</f>
        <v>0</v>
      </c>
      <c r="P228" s="13">
        <f t="shared" ref="P228:P236" si="117">N228*$N$9</f>
        <v>0</v>
      </c>
      <c r="Q228" s="13">
        <f t="shared" ref="Q228:Q236" si="118">O228-P228</f>
        <v>0</v>
      </c>
      <c r="R228" s="13">
        <f t="shared" ref="R228:R236" si="119">N228-Q228</f>
        <v>0</v>
      </c>
    </row>
    <row r="229" spans="6:18">
      <c r="F229">
        <v>218</v>
      </c>
      <c r="G229" s="11">
        <f t="shared" si="110"/>
        <v>0</v>
      </c>
      <c r="H229" s="11">
        <f t="shared" si="111"/>
        <v>0</v>
      </c>
      <c r="I229" s="11">
        <f t="shared" si="112"/>
        <v>0</v>
      </c>
      <c r="J229" s="11">
        <f t="shared" si="113"/>
        <v>0</v>
      </c>
      <c r="K229" s="11">
        <f t="shared" si="114"/>
        <v>0</v>
      </c>
      <c r="M229">
        <v>218</v>
      </c>
      <c r="N229" s="13">
        <f t="shared" si="115"/>
        <v>0</v>
      </c>
      <c r="O229" s="13">
        <f t="shared" si="116"/>
        <v>0</v>
      </c>
      <c r="P229" s="13">
        <f t="shared" si="117"/>
        <v>0</v>
      </c>
      <c r="Q229" s="13">
        <f t="shared" si="118"/>
        <v>0</v>
      </c>
      <c r="R229" s="13">
        <f t="shared" si="119"/>
        <v>0</v>
      </c>
    </row>
    <row r="230" spans="6:18">
      <c r="F230">
        <v>219</v>
      </c>
      <c r="G230" s="11">
        <f t="shared" si="110"/>
        <v>0</v>
      </c>
      <c r="H230" s="11">
        <f t="shared" si="111"/>
        <v>0</v>
      </c>
      <c r="I230" s="11">
        <f t="shared" si="112"/>
        <v>0</v>
      </c>
      <c r="J230" s="11">
        <f t="shared" si="113"/>
        <v>0</v>
      </c>
      <c r="K230" s="11">
        <f t="shared" si="114"/>
        <v>0</v>
      </c>
      <c r="M230">
        <v>219</v>
      </c>
      <c r="N230" s="13">
        <f t="shared" si="115"/>
        <v>0</v>
      </c>
      <c r="O230" s="13">
        <f t="shared" si="116"/>
        <v>0</v>
      </c>
      <c r="P230" s="13">
        <f t="shared" si="117"/>
        <v>0</v>
      </c>
      <c r="Q230" s="13">
        <f t="shared" si="118"/>
        <v>0</v>
      </c>
      <c r="R230" s="13">
        <f t="shared" si="119"/>
        <v>0</v>
      </c>
    </row>
    <row r="231" spans="6:18">
      <c r="F231">
        <v>220</v>
      </c>
      <c r="G231" s="11">
        <f t="shared" si="110"/>
        <v>0</v>
      </c>
      <c r="H231" s="11">
        <f t="shared" si="111"/>
        <v>0</v>
      </c>
      <c r="I231" s="11">
        <f t="shared" si="112"/>
        <v>0</v>
      </c>
      <c r="J231" s="11">
        <f t="shared" si="113"/>
        <v>0</v>
      </c>
      <c r="K231" s="11">
        <f t="shared" si="114"/>
        <v>0</v>
      </c>
      <c r="M231">
        <v>220</v>
      </c>
      <c r="N231" s="13">
        <f t="shared" si="115"/>
        <v>0</v>
      </c>
      <c r="O231" s="13">
        <f t="shared" si="116"/>
        <v>0</v>
      </c>
      <c r="P231" s="13">
        <f t="shared" si="117"/>
        <v>0</v>
      </c>
      <c r="Q231" s="13">
        <f t="shared" si="118"/>
        <v>0</v>
      </c>
      <c r="R231" s="13">
        <f t="shared" si="119"/>
        <v>0</v>
      </c>
    </row>
    <row r="232" spans="6:18">
      <c r="F232">
        <v>221</v>
      </c>
      <c r="G232" s="11">
        <f t="shared" si="110"/>
        <v>0</v>
      </c>
      <c r="H232" s="11">
        <f t="shared" si="111"/>
        <v>0</v>
      </c>
      <c r="I232" s="11">
        <f t="shared" si="112"/>
        <v>0</v>
      </c>
      <c r="J232" s="11">
        <f t="shared" si="113"/>
        <v>0</v>
      </c>
      <c r="K232" s="11">
        <f t="shared" si="114"/>
        <v>0</v>
      </c>
      <c r="M232">
        <v>221</v>
      </c>
      <c r="N232" s="13">
        <f t="shared" si="115"/>
        <v>0</v>
      </c>
      <c r="O232" s="13">
        <f t="shared" si="116"/>
        <v>0</v>
      </c>
      <c r="P232" s="13">
        <f t="shared" si="117"/>
        <v>0</v>
      </c>
      <c r="Q232" s="13">
        <f t="shared" si="118"/>
        <v>0</v>
      </c>
      <c r="R232" s="13">
        <f t="shared" si="119"/>
        <v>0</v>
      </c>
    </row>
    <row r="233" spans="6:18">
      <c r="F233">
        <v>222</v>
      </c>
      <c r="G233" s="11">
        <f t="shared" si="110"/>
        <v>0</v>
      </c>
      <c r="H233" s="11">
        <f t="shared" si="111"/>
        <v>0</v>
      </c>
      <c r="I233" s="11">
        <f t="shared" si="112"/>
        <v>0</v>
      </c>
      <c r="J233" s="11">
        <f t="shared" si="113"/>
        <v>0</v>
      </c>
      <c r="K233" s="11">
        <f t="shared" si="114"/>
        <v>0</v>
      </c>
      <c r="M233">
        <v>222</v>
      </c>
      <c r="N233" s="13">
        <f t="shared" si="115"/>
        <v>0</v>
      </c>
      <c r="O233" s="13">
        <f t="shared" si="116"/>
        <v>0</v>
      </c>
      <c r="P233" s="13">
        <f t="shared" si="117"/>
        <v>0</v>
      </c>
      <c r="Q233" s="13">
        <f t="shared" si="118"/>
        <v>0</v>
      </c>
      <c r="R233" s="13">
        <f t="shared" si="119"/>
        <v>0</v>
      </c>
    </row>
    <row r="234" spans="6:18">
      <c r="F234">
        <v>223</v>
      </c>
      <c r="G234" s="11">
        <f t="shared" si="110"/>
        <v>0</v>
      </c>
      <c r="H234" s="11">
        <f t="shared" si="111"/>
        <v>0</v>
      </c>
      <c r="I234" s="11">
        <f t="shared" si="112"/>
        <v>0</v>
      </c>
      <c r="J234" s="11">
        <f t="shared" si="113"/>
        <v>0</v>
      </c>
      <c r="K234" s="11">
        <f t="shared" si="114"/>
        <v>0</v>
      </c>
      <c r="M234">
        <v>223</v>
      </c>
      <c r="N234" s="13">
        <f t="shared" si="115"/>
        <v>0</v>
      </c>
      <c r="O234" s="13">
        <f t="shared" si="116"/>
        <v>0</v>
      </c>
      <c r="P234" s="13">
        <f t="shared" si="117"/>
        <v>0</v>
      </c>
      <c r="Q234" s="13">
        <f t="shared" si="118"/>
        <v>0</v>
      </c>
      <c r="R234" s="13">
        <f t="shared" si="119"/>
        <v>0</v>
      </c>
    </row>
    <row r="235" spans="6:18">
      <c r="F235">
        <v>224</v>
      </c>
      <c r="G235" s="11">
        <f>K234</f>
        <v>0</v>
      </c>
      <c r="H235" s="11">
        <f>$H$10</f>
        <v>0</v>
      </c>
      <c r="I235" s="11">
        <f>G235*$H$9</f>
        <v>0</v>
      </c>
      <c r="J235" s="11">
        <f>H235-I235</f>
        <v>0</v>
      </c>
      <c r="K235" s="11">
        <f>G235-J235</f>
        <v>0</v>
      </c>
      <c r="M235">
        <v>224</v>
      </c>
      <c r="N235" s="13">
        <f t="shared" si="115"/>
        <v>0</v>
      </c>
      <c r="O235" s="13">
        <f t="shared" si="116"/>
        <v>0</v>
      </c>
      <c r="P235" s="13">
        <f t="shared" si="117"/>
        <v>0</v>
      </c>
      <c r="Q235" s="13">
        <f t="shared" si="118"/>
        <v>0</v>
      </c>
      <c r="R235" s="13">
        <f t="shared" si="119"/>
        <v>0</v>
      </c>
    </row>
    <row r="236" spans="6:18">
      <c r="F236">
        <v>225</v>
      </c>
      <c r="G236" s="11">
        <f t="shared" ref="G236:G242" si="120">K235</f>
        <v>0</v>
      </c>
      <c r="H236" s="11">
        <f t="shared" ref="H236:H242" si="121">$H$10</f>
        <v>0</v>
      </c>
      <c r="I236" s="11">
        <f t="shared" ref="I236:I242" si="122">G236*$H$9</f>
        <v>0</v>
      </c>
      <c r="J236" s="11">
        <f t="shared" ref="J236:J242" si="123">H236-I236</f>
        <v>0</v>
      </c>
      <c r="K236" s="11">
        <f t="shared" ref="K236:K242" si="124">G236-J236</f>
        <v>0</v>
      </c>
      <c r="M236">
        <v>225</v>
      </c>
      <c r="N236" s="13">
        <f t="shared" si="115"/>
        <v>0</v>
      </c>
      <c r="O236" s="13">
        <f t="shared" si="116"/>
        <v>0</v>
      </c>
      <c r="P236" s="13">
        <f t="shared" si="117"/>
        <v>0</v>
      </c>
      <c r="Q236" s="13">
        <f t="shared" si="118"/>
        <v>0</v>
      </c>
      <c r="R236" s="13">
        <f t="shared" si="119"/>
        <v>0</v>
      </c>
    </row>
    <row r="237" spans="6:18">
      <c r="F237">
        <v>226</v>
      </c>
      <c r="G237" s="11">
        <f t="shared" si="120"/>
        <v>0</v>
      </c>
      <c r="H237" s="11">
        <f t="shared" si="121"/>
        <v>0</v>
      </c>
      <c r="I237" s="11">
        <f t="shared" si="122"/>
        <v>0</v>
      </c>
      <c r="J237" s="11">
        <f t="shared" si="123"/>
        <v>0</v>
      </c>
      <c r="K237" s="11">
        <f t="shared" si="124"/>
        <v>0</v>
      </c>
      <c r="M237">
        <v>226</v>
      </c>
      <c r="N237" s="13">
        <f>R236</f>
        <v>0</v>
      </c>
      <c r="O237" s="13">
        <f>$N$10</f>
        <v>0</v>
      </c>
      <c r="P237" s="13">
        <f>N237*$N$9</f>
        <v>0</v>
      </c>
      <c r="Q237" s="13">
        <f>O237-P237</f>
        <v>0</v>
      </c>
      <c r="R237" s="13">
        <f>N237-Q237</f>
        <v>0</v>
      </c>
    </row>
    <row r="238" spans="6:18">
      <c r="F238">
        <v>227</v>
      </c>
      <c r="G238" s="11">
        <f t="shared" si="120"/>
        <v>0</v>
      </c>
      <c r="H238" s="11">
        <f t="shared" si="121"/>
        <v>0</v>
      </c>
      <c r="I238" s="11">
        <f t="shared" si="122"/>
        <v>0</v>
      </c>
      <c r="J238" s="11">
        <f t="shared" si="123"/>
        <v>0</v>
      </c>
      <c r="K238" s="11">
        <f t="shared" si="124"/>
        <v>0</v>
      </c>
      <c r="M238">
        <v>227</v>
      </c>
      <c r="N238" s="13">
        <f t="shared" ref="N238:N250" si="125">R237</f>
        <v>0</v>
      </c>
      <c r="O238" s="13">
        <f t="shared" ref="O238:O250" si="126">$N$10</f>
        <v>0</v>
      </c>
      <c r="P238" s="13">
        <f t="shared" ref="P238:P250" si="127">N238*$N$9</f>
        <v>0</v>
      </c>
      <c r="Q238" s="13">
        <f t="shared" ref="Q238:Q250" si="128">O238-P238</f>
        <v>0</v>
      </c>
      <c r="R238" s="13">
        <f t="shared" ref="R238:R250" si="129">N238-Q238</f>
        <v>0</v>
      </c>
    </row>
    <row r="239" spans="6:18">
      <c r="F239">
        <v>228</v>
      </c>
      <c r="G239" s="11">
        <f t="shared" si="120"/>
        <v>0</v>
      </c>
      <c r="H239" s="11">
        <f t="shared" si="121"/>
        <v>0</v>
      </c>
      <c r="I239" s="11">
        <f t="shared" si="122"/>
        <v>0</v>
      </c>
      <c r="J239" s="11">
        <f t="shared" si="123"/>
        <v>0</v>
      </c>
      <c r="K239" s="11">
        <f t="shared" si="124"/>
        <v>0</v>
      </c>
      <c r="M239">
        <v>228</v>
      </c>
      <c r="N239" s="13">
        <f t="shared" si="125"/>
        <v>0</v>
      </c>
      <c r="O239" s="13">
        <f t="shared" si="126"/>
        <v>0</v>
      </c>
      <c r="P239" s="13">
        <f t="shared" si="127"/>
        <v>0</v>
      </c>
      <c r="Q239" s="13">
        <f t="shared" si="128"/>
        <v>0</v>
      </c>
      <c r="R239" s="13">
        <f t="shared" si="129"/>
        <v>0</v>
      </c>
    </row>
    <row r="240" spans="6:18">
      <c r="F240">
        <v>229</v>
      </c>
      <c r="G240" s="11">
        <f t="shared" si="120"/>
        <v>0</v>
      </c>
      <c r="H240" s="11">
        <f t="shared" si="121"/>
        <v>0</v>
      </c>
      <c r="I240" s="11">
        <f t="shared" si="122"/>
        <v>0</v>
      </c>
      <c r="J240" s="11">
        <f t="shared" si="123"/>
        <v>0</v>
      </c>
      <c r="K240" s="11">
        <f t="shared" si="124"/>
        <v>0</v>
      </c>
      <c r="M240">
        <v>229</v>
      </c>
      <c r="N240" s="13">
        <f t="shared" si="125"/>
        <v>0</v>
      </c>
      <c r="O240" s="13">
        <f t="shared" si="126"/>
        <v>0</v>
      </c>
      <c r="P240" s="13">
        <f t="shared" si="127"/>
        <v>0</v>
      </c>
      <c r="Q240" s="13">
        <f t="shared" si="128"/>
        <v>0</v>
      </c>
      <c r="R240" s="13">
        <f t="shared" si="129"/>
        <v>0</v>
      </c>
    </row>
    <row r="241" spans="6:18">
      <c r="F241">
        <v>230</v>
      </c>
      <c r="G241" s="11">
        <f t="shared" si="120"/>
        <v>0</v>
      </c>
      <c r="H241" s="11">
        <f t="shared" si="121"/>
        <v>0</v>
      </c>
      <c r="I241" s="11">
        <f t="shared" si="122"/>
        <v>0</v>
      </c>
      <c r="J241" s="11">
        <f t="shared" si="123"/>
        <v>0</v>
      </c>
      <c r="K241" s="11">
        <f t="shared" si="124"/>
        <v>0</v>
      </c>
      <c r="M241">
        <v>230</v>
      </c>
      <c r="N241" s="13">
        <f t="shared" si="125"/>
        <v>0</v>
      </c>
      <c r="O241" s="13">
        <f t="shared" si="126"/>
        <v>0</v>
      </c>
      <c r="P241" s="13">
        <f t="shared" si="127"/>
        <v>0</v>
      </c>
      <c r="Q241" s="13">
        <f t="shared" si="128"/>
        <v>0</v>
      </c>
      <c r="R241" s="13">
        <f t="shared" si="129"/>
        <v>0</v>
      </c>
    </row>
    <row r="242" spans="6:18">
      <c r="F242">
        <v>231</v>
      </c>
      <c r="G242" s="11">
        <f t="shared" si="120"/>
        <v>0</v>
      </c>
      <c r="H242" s="11">
        <f t="shared" si="121"/>
        <v>0</v>
      </c>
      <c r="I242" s="11">
        <f t="shared" si="122"/>
        <v>0</v>
      </c>
      <c r="J242" s="11">
        <f t="shared" si="123"/>
        <v>0</v>
      </c>
      <c r="K242" s="11">
        <f t="shared" si="124"/>
        <v>0</v>
      </c>
      <c r="M242">
        <v>231</v>
      </c>
      <c r="N242" s="13">
        <f t="shared" si="125"/>
        <v>0</v>
      </c>
      <c r="O242" s="13">
        <f t="shared" si="126"/>
        <v>0</v>
      </c>
      <c r="P242" s="13">
        <f t="shared" si="127"/>
        <v>0</v>
      </c>
      <c r="Q242" s="13">
        <f t="shared" si="128"/>
        <v>0</v>
      </c>
      <c r="R242" s="13">
        <f t="shared" si="129"/>
        <v>0</v>
      </c>
    </row>
    <row r="243" spans="6:18">
      <c r="F243">
        <v>232</v>
      </c>
      <c r="G243" s="11">
        <f>K242</f>
        <v>0</v>
      </c>
      <c r="H243" s="11">
        <f>$H$10</f>
        <v>0</v>
      </c>
      <c r="I243" s="11">
        <f>G243*$H$9</f>
        <v>0</v>
      </c>
      <c r="J243" s="11">
        <f>H243-I243</f>
        <v>0</v>
      </c>
      <c r="K243" s="11">
        <f>G243-J243</f>
        <v>0</v>
      </c>
      <c r="M243">
        <v>232</v>
      </c>
      <c r="N243" s="13">
        <f t="shared" si="125"/>
        <v>0</v>
      </c>
      <c r="O243" s="13">
        <f t="shared" si="126"/>
        <v>0</v>
      </c>
      <c r="P243" s="13">
        <f t="shared" si="127"/>
        <v>0</v>
      </c>
      <c r="Q243" s="13">
        <f t="shared" si="128"/>
        <v>0</v>
      </c>
      <c r="R243" s="13">
        <f t="shared" si="129"/>
        <v>0</v>
      </c>
    </row>
    <row r="244" spans="6:18">
      <c r="F244">
        <v>233</v>
      </c>
      <c r="G244" s="11">
        <f t="shared" ref="G244:G251" si="130">K243</f>
        <v>0</v>
      </c>
      <c r="H244" s="11">
        <f t="shared" ref="H244:H251" si="131">$H$10</f>
        <v>0</v>
      </c>
      <c r="I244" s="11">
        <f t="shared" ref="I244:I251" si="132">G244*$H$9</f>
        <v>0</v>
      </c>
      <c r="J244" s="11">
        <f t="shared" ref="J244:J251" si="133">H244-I244</f>
        <v>0</v>
      </c>
      <c r="K244" s="11">
        <f t="shared" ref="K244:K251" si="134">G244-J244</f>
        <v>0</v>
      </c>
      <c r="M244">
        <v>233</v>
      </c>
      <c r="N244" s="13">
        <f t="shared" si="125"/>
        <v>0</v>
      </c>
      <c r="O244" s="13">
        <f t="shared" si="126"/>
        <v>0</v>
      </c>
      <c r="P244" s="13">
        <f t="shared" si="127"/>
        <v>0</v>
      </c>
      <c r="Q244" s="13">
        <f t="shared" si="128"/>
        <v>0</v>
      </c>
      <c r="R244" s="13">
        <f t="shared" si="129"/>
        <v>0</v>
      </c>
    </row>
    <row r="245" spans="6:18">
      <c r="F245">
        <v>234</v>
      </c>
      <c r="G245" s="11">
        <f t="shared" si="130"/>
        <v>0</v>
      </c>
      <c r="H245" s="11">
        <f t="shared" si="131"/>
        <v>0</v>
      </c>
      <c r="I245" s="11">
        <f t="shared" si="132"/>
        <v>0</v>
      </c>
      <c r="J245" s="11">
        <f t="shared" si="133"/>
        <v>0</v>
      </c>
      <c r="K245" s="11">
        <f t="shared" si="134"/>
        <v>0</v>
      </c>
      <c r="M245">
        <v>234</v>
      </c>
      <c r="N245" s="13">
        <f t="shared" si="125"/>
        <v>0</v>
      </c>
      <c r="O245" s="13">
        <f t="shared" si="126"/>
        <v>0</v>
      </c>
      <c r="P245" s="13">
        <f t="shared" si="127"/>
        <v>0</v>
      </c>
      <c r="Q245" s="13">
        <f t="shared" si="128"/>
        <v>0</v>
      </c>
      <c r="R245" s="13">
        <f t="shared" si="129"/>
        <v>0</v>
      </c>
    </row>
    <row r="246" spans="6:18">
      <c r="F246">
        <v>235</v>
      </c>
      <c r="G246" s="11">
        <f t="shared" si="130"/>
        <v>0</v>
      </c>
      <c r="H246" s="11">
        <f t="shared" si="131"/>
        <v>0</v>
      </c>
      <c r="I246" s="11">
        <f t="shared" si="132"/>
        <v>0</v>
      </c>
      <c r="J246" s="11">
        <f t="shared" si="133"/>
        <v>0</v>
      </c>
      <c r="K246" s="11">
        <f t="shared" si="134"/>
        <v>0</v>
      </c>
      <c r="M246">
        <v>235</v>
      </c>
      <c r="N246" s="13">
        <f t="shared" si="125"/>
        <v>0</v>
      </c>
      <c r="O246" s="13">
        <f t="shared" si="126"/>
        <v>0</v>
      </c>
      <c r="P246" s="13">
        <f t="shared" si="127"/>
        <v>0</v>
      </c>
      <c r="Q246" s="13">
        <f t="shared" si="128"/>
        <v>0</v>
      </c>
      <c r="R246" s="13">
        <f t="shared" si="129"/>
        <v>0</v>
      </c>
    </row>
    <row r="247" spans="6:18">
      <c r="F247">
        <v>236</v>
      </c>
      <c r="G247" s="11">
        <f t="shared" si="130"/>
        <v>0</v>
      </c>
      <c r="H247" s="11">
        <f t="shared" si="131"/>
        <v>0</v>
      </c>
      <c r="I247" s="11">
        <f t="shared" si="132"/>
        <v>0</v>
      </c>
      <c r="J247" s="11">
        <f t="shared" si="133"/>
        <v>0</v>
      </c>
      <c r="K247" s="11">
        <f t="shared" si="134"/>
        <v>0</v>
      </c>
      <c r="M247">
        <v>236</v>
      </c>
      <c r="N247" s="13">
        <f t="shared" si="125"/>
        <v>0</v>
      </c>
      <c r="O247" s="13">
        <f t="shared" si="126"/>
        <v>0</v>
      </c>
      <c r="P247" s="13">
        <f t="shared" si="127"/>
        <v>0</v>
      </c>
      <c r="Q247" s="13">
        <f t="shared" si="128"/>
        <v>0</v>
      </c>
      <c r="R247" s="13">
        <f t="shared" si="129"/>
        <v>0</v>
      </c>
    </row>
    <row r="248" spans="6:18">
      <c r="F248">
        <v>237</v>
      </c>
      <c r="G248" s="11">
        <f t="shared" si="130"/>
        <v>0</v>
      </c>
      <c r="H248" s="11">
        <f t="shared" si="131"/>
        <v>0</v>
      </c>
      <c r="I248" s="11">
        <f t="shared" si="132"/>
        <v>0</v>
      </c>
      <c r="J248" s="11">
        <f t="shared" si="133"/>
        <v>0</v>
      </c>
      <c r="K248" s="11">
        <f t="shared" si="134"/>
        <v>0</v>
      </c>
      <c r="M248">
        <v>237</v>
      </c>
      <c r="N248" s="13">
        <f t="shared" si="125"/>
        <v>0</v>
      </c>
      <c r="O248" s="13">
        <f t="shared" si="126"/>
        <v>0</v>
      </c>
      <c r="P248" s="13">
        <f t="shared" si="127"/>
        <v>0</v>
      </c>
      <c r="Q248" s="13">
        <f t="shared" si="128"/>
        <v>0</v>
      </c>
      <c r="R248" s="13">
        <f t="shared" si="129"/>
        <v>0</v>
      </c>
    </row>
    <row r="249" spans="6:18">
      <c r="F249">
        <v>238</v>
      </c>
      <c r="G249" s="11">
        <f t="shared" si="130"/>
        <v>0</v>
      </c>
      <c r="H249" s="11">
        <f t="shared" si="131"/>
        <v>0</v>
      </c>
      <c r="I249" s="11">
        <f t="shared" si="132"/>
        <v>0</v>
      </c>
      <c r="J249" s="11">
        <f t="shared" si="133"/>
        <v>0</v>
      </c>
      <c r="K249" s="11">
        <f t="shared" si="134"/>
        <v>0</v>
      </c>
      <c r="M249">
        <v>238</v>
      </c>
      <c r="N249" s="13">
        <f t="shared" si="125"/>
        <v>0</v>
      </c>
      <c r="O249" s="13">
        <f t="shared" si="126"/>
        <v>0</v>
      </c>
      <c r="P249" s="13">
        <f t="shared" si="127"/>
        <v>0</v>
      </c>
      <c r="Q249" s="13">
        <f t="shared" si="128"/>
        <v>0</v>
      </c>
      <c r="R249" s="13">
        <f t="shared" si="129"/>
        <v>0</v>
      </c>
    </row>
    <row r="250" spans="6:18">
      <c r="F250">
        <v>239</v>
      </c>
      <c r="G250" s="11">
        <f t="shared" si="130"/>
        <v>0</v>
      </c>
      <c r="H250" s="11">
        <f t="shared" si="131"/>
        <v>0</v>
      </c>
      <c r="I250" s="11">
        <f t="shared" si="132"/>
        <v>0</v>
      </c>
      <c r="J250" s="11">
        <f t="shared" si="133"/>
        <v>0</v>
      </c>
      <c r="K250" s="11">
        <f t="shared" si="134"/>
        <v>0</v>
      </c>
      <c r="M250">
        <v>239</v>
      </c>
      <c r="N250" s="13">
        <f t="shared" si="125"/>
        <v>0</v>
      </c>
      <c r="O250" s="13">
        <f t="shared" si="126"/>
        <v>0</v>
      </c>
      <c r="P250" s="13">
        <f t="shared" si="127"/>
        <v>0</v>
      </c>
      <c r="Q250" s="13">
        <f t="shared" si="128"/>
        <v>0</v>
      </c>
      <c r="R250" s="13">
        <f t="shared" si="129"/>
        <v>0</v>
      </c>
    </row>
    <row r="251" spans="6:18">
      <c r="F251">
        <v>240</v>
      </c>
      <c r="G251" s="11">
        <f t="shared" si="130"/>
        <v>0</v>
      </c>
      <c r="H251" s="11">
        <f t="shared" si="131"/>
        <v>0</v>
      </c>
      <c r="I251" s="11">
        <f t="shared" si="132"/>
        <v>0</v>
      </c>
      <c r="J251" s="11">
        <f t="shared" si="133"/>
        <v>0</v>
      </c>
      <c r="K251" s="11">
        <f t="shared" si="134"/>
        <v>0</v>
      </c>
      <c r="M251">
        <v>240</v>
      </c>
      <c r="N251" s="13">
        <f>R250</f>
        <v>0</v>
      </c>
      <c r="O251" s="13">
        <f>$N$10</f>
        <v>0</v>
      </c>
      <c r="P251" s="13">
        <f>N251*$N$9</f>
        <v>0</v>
      </c>
      <c r="Q251" s="13">
        <f>O251-P251</f>
        <v>0</v>
      </c>
      <c r="R251" s="13">
        <f>N251-Q251</f>
        <v>0</v>
      </c>
    </row>
    <row r="252" spans="6:18">
      <c r="F252">
        <v>241</v>
      </c>
      <c r="G252" s="11">
        <f>K251</f>
        <v>0</v>
      </c>
      <c r="H252" s="11">
        <f>$H$10</f>
        <v>0</v>
      </c>
      <c r="I252" s="11">
        <f>G252*$H$9</f>
        <v>0</v>
      </c>
      <c r="J252" s="11">
        <f>H252-I252</f>
        <v>0</v>
      </c>
      <c r="K252" s="11">
        <f>G252-J252</f>
        <v>0</v>
      </c>
      <c r="P252" s="13">
        <f>SUM(P12:P251)</f>
        <v>0</v>
      </c>
      <c r="Q252" s="13">
        <f>SUM(Q12:Q251)</f>
        <v>0</v>
      </c>
    </row>
    <row r="253" spans="6:18">
      <c r="F253">
        <v>242</v>
      </c>
      <c r="G253" s="11">
        <f t="shared" ref="G253:G263" si="135">K252</f>
        <v>0</v>
      </c>
      <c r="H253" s="11">
        <f t="shared" ref="H253:H263" si="136">$H$10</f>
        <v>0</v>
      </c>
      <c r="I253" s="11">
        <f t="shared" ref="I253:I263" si="137">G253*$H$9</f>
        <v>0</v>
      </c>
      <c r="J253" s="11">
        <f t="shared" ref="J253:J263" si="138">H253-I253</f>
        <v>0</v>
      </c>
      <c r="K253" s="11">
        <f t="shared" ref="K253:K263" si="139">G253-J253</f>
        <v>0</v>
      </c>
    </row>
    <row r="254" spans="6:18">
      <c r="F254">
        <v>243</v>
      </c>
      <c r="G254" s="11">
        <f t="shared" si="135"/>
        <v>0</v>
      </c>
      <c r="H254" s="11">
        <f t="shared" si="136"/>
        <v>0</v>
      </c>
      <c r="I254" s="11">
        <f t="shared" si="137"/>
        <v>0</v>
      </c>
      <c r="J254" s="11">
        <f t="shared" si="138"/>
        <v>0</v>
      </c>
      <c r="K254" s="11">
        <f t="shared" si="139"/>
        <v>0</v>
      </c>
    </row>
    <row r="255" spans="6:18">
      <c r="F255">
        <v>244</v>
      </c>
      <c r="G255" s="11">
        <f t="shared" si="135"/>
        <v>0</v>
      </c>
      <c r="H255" s="11">
        <f t="shared" si="136"/>
        <v>0</v>
      </c>
      <c r="I255" s="11">
        <f t="shared" si="137"/>
        <v>0</v>
      </c>
      <c r="J255" s="11">
        <f t="shared" si="138"/>
        <v>0</v>
      </c>
      <c r="K255" s="11">
        <f t="shared" si="139"/>
        <v>0</v>
      </c>
    </row>
    <row r="256" spans="6:18">
      <c r="F256">
        <v>245</v>
      </c>
      <c r="G256" s="11">
        <f t="shared" si="135"/>
        <v>0</v>
      </c>
      <c r="H256" s="11">
        <f t="shared" si="136"/>
        <v>0</v>
      </c>
      <c r="I256" s="11">
        <f t="shared" si="137"/>
        <v>0</v>
      </c>
      <c r="J256" s="11">
        <f t="shared" si="138"/>
        <v>0</v>
      </c>
      <c r="K256" s="11">
        <f t="shared" si="139"/>
        <v>0</v>
      </c>
    </row>
    <row r="257" spans="6:11">
      <c r="F257">
        <v>246</v>
      </c>
      <c r="G257" s="11">
        <f t="shared" si="135"/>
        <v>0</v>
      </c>
      <c r="H257" s="11">
        <f t="shared" si="136"/>
        <v>0</v>
      </c>
      <c r="I257" s="11">
        <f t="shared" si="137"/>
        <v>0</v>
      </c>
      <c r="J257" s="11">
        <f t="shared" si="138"/>
        <v>0</v>
      </c>
      <c r="K257" s="11">
        <f t="shared" si="139"/>
        <v>0</v>
      </c>
    </row>
    <row r="258" spans="6:11">
      <c r="F258">
        <v>247</v>
      </c>
      <c r="G258" s="11">
        <f t="shared" si="135"/>
        <v>0</v>
      </c>
      <c r="H258" s="11">
        <f t="shared" si="136"/>
        <v>0</v>
      </c>
      <c r="I258" s="11">
        <f t="shared" si="137"/>
        <v>0</v>
      </c>
      <c r="J258" s="11">
        <f t="shared" si="138"/>
        <v>0</v>
      </c>
      <c r="K258" s="11">
        <f t="shared" si="139"/>
        <v>0</v>
      </c>
    </row>
    <row r="259" spans="6:11">
      <c r="F259">
        <v>248</v>
      </c>
      <c r="G259" s="11">
        <f t="shared" si="135"/>
        <v>0</v>
      </c>
      <c r="H259" s="11">
        <f t="shared" si="136"/>
        <v>0</v>
      </c>
      <c r="I259" s="11">
        <f t="shared" si="137"/>
        <v>0</v>
      </c>
      <c r="J259" s="11">
        <f t="shared" si="138"/>
        <v>0</v>
      </c>
      <c r="K259" s="11">
        <f t="shared" si="139"/>
        <v>0</v>
      </c>
    </row>
    <row r="260" spans="6:11">
      <c r="F260">
        <v>249</v>
      </c>
      <c r="G260" s="11">
        <f t="shared" si="135"/>
        <v>0</v>
      </c>
      <c r="H260" s="11">
        <f t="shared" si="136"/>
        <v>0</v>
      </c>
      <c r="I260" s="11">
        <f t="shared" si="137"/>
        <v>0</v>
      </c>
      <c r="J260" s="11">
        <f t="shared" si="138"/>
        <v>0</v>
      </c>
      <c r="K260" s="11">
        <f t="shared" si="139"/>
        <v>0</v>
      </c>
    </row>
    <row r="261" spans="6:11">
      <c r="F261">
        <v>250</v>
      </c>
      <c r="G261" s="11">
        <f t="shared" si="135"/>
        <v>0</v>
      </c>
      <c r="H261" s="11">
        <f t="shared" si="136"/>
        <v>0</v>
      </c>
      <c r="I261" s="11">
        <f t="shared" si="137"/>
        <v>0</v>
      </c>
      <c r="J261" s="11">
        <f t="shared" si="138"/>
        <v>0</v>
      </c>
      <c r="K261" s="11">
        <f t="shared" si="139"/>
        <v>0</v>
      </c>
    </row>
    <row r="262" spans="6:11">
      <c r="F262">
        <v>251</v>
      </c>
      <c r="G262" s="11">
        <f t="shared" si="135"/>
        <v>0</v>
      </c>
      <c r="H262" s="11">
        <f t="shared" si="136"/>
        <v>0</v>
      </c>
      <c r="I262" s="11">
        <f t="shared" si="137"/>
        <v>0</v>
      </c>
      <c r="J262" s="11">
        <f t="shared" si="138"/>
        <v>0</v>
      </c>
      <c r="K262" s="11">
        <f t="shared" si="139"/>
        <v>0</v>
      </c>
    </row>
    <row r="263" spans="6:11">
      <c r="F263">
        <v>252</v>
      </c>
      <c r="G263" s="11">
        <f t="shared" si="135"/>
        <v>0</v>
      </c>
      <c r="H263" s="11">
        <f t="shared" si="136"/>
        <v>0</v>
      </c>
      <c r="I263" s="11">
        <f t="shared" si="137"/>
        <v>0</v>
      </c>
      <c r="J263" s="11">
        <f t="shared" si="138"/>
        <v>0</v>
      </c>
      <c r="K263" s="11">
        <f t="shared" si="139"/>
        <v>0</v>
      </c>
    </row>
    <row r="264" spans="6:11">
      <c r="F264">
        <v>253</v>
      </c>
      <c r="G264" s="11">
        <f>K263</f>
        <v>0</v>
      </c>
      <c r="H264" s="11">
        <f>$H$10</f>
        <v>0</v>
      </c>
      <c r="I264" s="11">
        <f>G264*$H$9</f>
        <v>0</v>
      </c>
      <c r="J264" s="11">
        <f>H264-I264</f>
        <v>0</v>
      </c>
      <c r="K264" s="11">
        <f>G264-J264</f>
        <v>0</v>
      </c>
    </row>
    <row r="265" spans="6:11">
      <c r="F265">
        <v>254</v>
      </c>
      <c r="G265" s="11">
        <f t="shared" ref="G265:G277" si="140">K264</f>
        <v>0</v>
      </c>
      <c r="H265" s="11">
        <f t="shared" ref="H265:H277" si="141">$H$10</f>
        <v>0</v>
      </c>
      <c r="I265" s="11">
        <f t="shared" ref="I265:I277" si="142">G265*$H$9</f>
        <v>0</v>
      </c>
      <c r="J265" s="11">
        <f t="shared" ref="J265:J277" si="143">H265-I265</f>
        <v>0</v>
      </c>
      <c r="K265" s="11">
        <f t="shared" ref="K265:K277" si="144">G265-J265</f>
        <v>0</v>
      </c>
    </row>
    <row r="266" spans="6:11">
      <c r="F266">
        <v>255</v>
      </c>
      <c r="G266" s="11">
        <f t="shared" si="140"/>
        <v>0</v>
      </c>
      <c r="H266" s="11">
        <f t="shared" si="141"/>
        <v>0</v>
      </c>
      <c r="I266" s="11">
        <f t="shared" si="142"/>
        <v>0</v>
      </c>
      <c r="J266" s="11">
        <f t="shared" si="143"/>
        <v>0</v>
      </c>
      <c r="K266" s="11">
        <f t="shared" si="144"/>
        <v>0</v>
      </c>
    </row>
    <row r="267" spans="6:11">
      <c r="F267">
        <v>256</v>
      </c>
      <c r="G267" s="11">
        <f t="shared" si="140"/>
        <v>0</v>
      </c>
      <c r="H267" s="11">
        <f t="shared" si="141"/>
        <v>0</v>
      </c>
      <c r="I267" s="11">
        <f t="shared" si="142"/>
        <v>0</v>
      </c>
      <c r="J267" s="11">
        <f t="shared" si="143"/>
        <v>0</v>
      </c>
      <c r="K267" s="11">
        <f t="shared" si="144"/>
        <v>0</v>
      </c>
    </row>
    <row r="268" spans="6:11">
      <c r="F268">
        <v>257</v>
      </c>
      <c r="G268" s="11">
        <f t="shared" si="140"/>
        <v>0</v>
      </c>
      <c r="H268" s="11">
        <f t="shared" si="141"/>
        <v>0</v>
      </c>
      <c r="I268" s="11">
        <f t="shared" si="142"/>
        <v>0</v>
      </c>
      <c r="J268" s="11">
        <f t="shared" si="143"/>
        <v>0</v>
      </c>
      <c r="K268" s="11">
        <f t="shared" si="144"/>
        <v>0</v>
      </c>
    </row>
    <row r="269" spans="6:11">
      <c r="F269">
        <v>258</v>
      </c>
      <c r="G269" s="11">
        <f t="shared" si="140"/>
        <v>0</v>
      </c>
      <c r="H269" s="11">
        <f t="shared" si="141"/>
        <v>0</v>
      </c>
      <c r="I269" s="11">
        <f t="shared" si="142"/>
        <v>0</v>
      </c>
      <c r="J269" s="11">
        <f t="shared" si="143"/>
        <v>0</v>
      </c>
      <c r="K269" s="11">
        <f t="shared" si="144"/>
        <v>0</v>
      </c>
    </row>
    <row r="270" spans="6:11">
      <c r="F270">
        <v>259</v>
      </c>
      <c r="G270" s="11">
        <f t="shared" si="140"/>
        <v>0</v>
      </c>
      <c r="H270" s="11">
        <f t="shared" si="141"/>
        <v>0</v>
      </c>
      <c r="I270" s="11">
        <f t="shared" si="142"/>
        <v>0</v>
      </c>
      <c r="J270" s="11">
        <f t="shared" si="143"/>
        <v>0</v>
      </c>
      <c r="K270" s="11">
        <f t="shared" si="144"/>
        <v>0</v>
      </c>
    </row>
    <row r="271" spans="6:11">
      <c r="F271">
        <v>260</v>
      </c>
      <c r="G271" s="11">
        <f t="shared" si="140"/>
        <v>0</v>
      </c>
      <c r="H271" s="11">
        <f t="shared" si="141"/>
        <v>0</v>
      </c>
      <c r="I271" s="11">
        <f t="shared" si="142"/>
        <v>0</v>
      </c>
      <c r="J271" s="11">
        <f t="shared" si="143"/>
        <v>0</v>
      </c>
      <c r="K271" s="11">
        <f t="shared" si="144"/>
        <v>0</v>
      </c>
    </row>
    <row r="272" spans="6:11">
      <c r="F272">
        <v>261</v>
      </c>
      <c r="G272" s="11">
        <f t="shared" si="140"/>
        <v>0</v>
      </c>
      <c r="H272" s="11">
        <f t="shared" si="141"/>
        <v>0</v>
      </c>
      <c r="I272" s="11">
        <f t="shared" si="142"/>
        <v>0</v>
      </c>
      <c r="J272" s="11">
        <f t="shared" si="143"/>
        <v>0</v>
      </c>
      <c r="K272" s="11">
        <f t="shared" si="144"/>
        <v>0</v>
      </c>
    </row>
    <row r="273" spans="6:11">
      <c r="F273">
        <v>262</v>
      </c>
      <c r="G273" s="11">
        <f t="shared" si="140"/>
        <v>0</v>
      </c>
      <c r="H273" s="11">
        <f t="shared" si="141"/>
        <v>0</v>
      </c>
      <c r="I273" s="11">
        <f t="shared" si="142"/>
        <v>0</v>
      </c>
      <c r="J273" s="11">
        <f t="shared" si="143"/>
        <v>0</v>
      </c>
      <c r="K273" s="11">
        <f t="shared" si="144"/>
        <v>0</v>
      </c>
    </row>
    <row r="274" spans="6:11">
      <c r="F274">
        <v>263</v>
      </c>
      <c r="G274" s="11">
        <f t="shared" si="140"/>
        <v>0</v>
      </c>
      <c r="H274" s="11">
        <f t="shared" si="141"/>
        <v>0</v>
      </c>
      <c r="I274" s="11">
        <f t="shared" si="142"/>
        <v>0</v>
      </c>
      <c r="J274" s="11">
        <f t="shared" si="143"/>
        <v>0</v>
      </c>
      <c r="K274" s="11">
        <f t="shared" si="144"/>
        <v>0</v>
      </c>
    </row>
    <row r="275" spans="6:11">
      <c r="F275">
        <v>264</v>
      </c>
      <c r="G275" s="11">
        <f t="shared" si="140"/>
        <v>0</v>
      </c>
      <c r="H275" s="11">
        <f t="shared" si="141"/>
        <v>0</v>
      </c>
      <c r="I275" s="11">
        <f t="shared" si="142"/>
        <v>0</v>
      </c>
      <c r="J275" s="11">
        <f t="shared" si="143"/>
        <v>0</v>
      </c>
      <c r="K275" s="11">
        <f t="shared" si="144"/>
        <v>0</v>
      </c>
    </row>
    <row r="276" spans="6:11">
      <c r="F276">
        <v>265</v>
      </c>
      <c r="G276" s="11">
        <f t="shared" si="140"/>
        <v>0</v>
      </c>
      <c r="H276" s="11">
        <f t="shared" si="141"/>
        <v>0</v>
      </c>
      <c r="I276" s="11">
        <f t="shared" si="142"/>
        <v>0</v>
      </c>
      <c r="J276" s="11">
        <f t="shared" si="143"/>
        <v>0</v>
      </c>
      <c r="K276" s="11">
        <f t="shared" si="144"/>
        <v>0</v>
      </c>
    </row>
    <row r="277" spans="6:11">
      <c r="F277">
        <v>266</v>
      </c>
      <c r="G277" s="11">
        <f t="shared" si="140"/>
        <v>0</v>
      </c>
      <c r="H277" s="11">
        <f t="shared" si="141"/>
        <v>0</v>
      </c>
      <c r="I277" s="11">
        <f t="shared" si="142"/>
        <v>0</v>
      </c>
      <c r="J277" s="11">
        <f t="shared" si="143"/>
        <v>0</v>
      </c>
      <c r="K277" s="11">
        <f t="shared" si="144"/>
        <v>0</v>
      </c>
    </row>
    <row r="278" spans="6:11">
      <c r="F278">
        <v>267</v>
      </c>
      <c r="G278" s="11">
        <f>K277</f>
        <v>0</v>
      </c>
      <c r="H278" s="11">
        <f>$H$10</f>
        <v>0</v>
      </c>
      <c r="I278" s="11">
        <f>G278*$H$9</f>
        <v>0</v>
      </c>
      <c r="J278" s="11">
        <f>H278-I278</f>
        <v>0</v>
      </c>
      <c r="K278" s="11">
        <f>G278-J278</f>
        <v>0</v>
      </c>
    </row>
    <row r="279" spans="6:11">
      <c r="F279">
        <v>268</v>
      </c>
      <c r="G279" s="11">
        <f t="shared" ref="G279:G291" si="145">K278</f>
        <v>0</v>
      </c>
      <c r="H279" s="11">
        <f t="shared" ref="H279:H291" si="146">$H$10</f>
        <v>0</v>
      </c>
      <c r="I279" s="11">
        <f t="shared" ref="I279:I291" si="147">G279*$H$9</f>
        <v>0</v>
      </c>
      <c r="J279" s="11">
        <f t="shared" ref="J279:J291" si="148">H279-I279</f>
        <v>0</v>
      </c>
      <c r="K279" s="11">
        <f t="shared" ref="K279:K291" si="149">G279-J279</f>
        <v>0</v>
      </c>
    </row>
    <row r="280" spans="6:11">
      <c r="F280">
        <v>269</v>
      </c>
      <c r="G280" s="11">
        <f t="shared" si="145"/>
        <v>0</v>
      </c>
      <c r="H280" s="11">
        <f t="shared" si="146"/>
        <v>0</v>
      </c>
      <c r="I280" s="11">
        <f t="shared" si="147"/>
        <v>0</v>
      </c>
      <c r="J280" s="11">
        <f t="shared" si="148"/>
        <v>0</v>
      </c>
      <c r="K280" s="11">
        <f t="shared" si="149"/>
        <v>0</v>
      </c>
    </row>
    <row r="281" spans="6:11">
      <c r="F281">
        <v>270</v>
      </c>
      <c r="G281" s="11">
        <f t="shared" si="145"/>
        <v>0</v>
      </c>
      <c r="H281" s="11">
        <f t="shared" si="146"/>
        <v>0</v>
      </c>
      <c r="I281" s="11">
        <f t="shared" si="147"/>
        <v>0</v>
      </c>
      <c r="J281" s="11">
        <f t="shared" si="148"/>
        <v>0</v>
      </c>
      <c r="K281" s="11">
        <f t="shared" si="149"/>
        <v>0</v>
      </c>
    </row>
    <row r="282" spans="6:11">
      <c r="F282">
        <v>271</v>
      </c>
      <c r="G282" s="11">
        <f t="shared" si="145"/>
        <v>0</v>
      </c>
      <c r="H282" s="11">
        <f t="shared" si="146"/>
        <v>0</v>
      </c>
      <c r="I282" s="11">
        <f t="shared" si="147"/>
        <v>0</v>
      </c>
      <c r="J282" s="11">
        <f t="shared" si="148"/>
        <v>0</v>
      </c>
      <c r="K282" s="11">
        <f t="shared" si="149"/>
        <v>0</v>
      </c>
    </row>
    <row r="283" spans="6:11">
      <c r="F283">
        <v>272</v>
      </c>
      <c r="G283" s="11">
        <f t="shared" si="145"/>
        <v>0</v>
      </c>
      <c r="H283" s="11">
        <f t="shared" si="146"/>
        <v>0</v>
      </c>
      <c r="I283" s="11">
        <f t="shared" si="147"/>
        <v>0</v>
      </c>
      <c r="J283" s="11">
        <f t="shared" si="148"/>
        <v>0</v>
      </c>
      <c r="K283" s="11">
        <f t="shared" si="149"/>
        <v>0</v>
      </c>
    </row>
    <row r="284" spans="6:11">
      <c r="F284">
        <v>273</v>
      </c>
      <c r="G284" s="11">
        <f t="shared" si="145"/>
        <v>0</v>
      </c>
      <c r="H284" s="11">
        <f t="shared" si="146"/>
        <v>0</v>
      </c>
      <c r="I284" s="11">
        <f t="shared" si="147"/>
        <v>0</v>
      </c>
      <c r="J284" s="11">
        <f t="shared" si="148"/>
        <v>0</v>
      </c>
      <c r="K284" s="11">
        <f t="shared" si="149"/>
        <v>0</v>
      </c>
    </row>
    <row r="285" spans="6:11">
      <c r="F285">
        <v>274</v>
      </c>
      <c r="G285" s="11">
        <f t="shared" si="145"/>
        <v>0</v>
      </c>
      <c r="H285" s="11">
        <f t="shared" si="146"/>
        <v>0</v>
      </c>
      <c r="I285" s="11">
        <f t="shared" si="147"/>
        <v>0</v>
      </c>
      <c r="J285" s="11">
        <f t="shared" si="148"/>
        <v>0</v>
      </c>
      <c r="K285" s="11">
        <f t="shared" si="149"/>
        <v>0</v>
      </c>
    </row>
    <row r="286" spans="6:11">
      <c r="F286">
        <v>275</v>
      </c>
      <c r="G286" s="11">
        <f t="shared" si="145"/>
        <v>0</v>
      </c>
      <c r="H286" s="11">
        <f t="shared" si="146"/>
        <v>0</v>
      </c>
      <c r="I286" s="11">
        <f t="shared" si="147"/>
        <v>0</v>
      </c>
      <c r="J286" s="11">
        <f t="shared" si="148"/>
        <v>0</v>
      </c>
      <c r="K286" s="11">
        <f t="shared" si="149"/>
        <v>0</v>
      </c>
    </row>
    <row r="287" spans="6:11">
      <c r="F287">
        <v>276</v>
      </c>
      <c r="G287" s="11">
        <f t="shared" si="145"/>
        <v>0</v>
      </c>
      <c r="H287" s="11">
        <f t="shared" si="146"/>
        <v>0</v>
      </c>
      <c r="I287" s="11">
        <f t="shared" si="147"/>
        <v>0</v>
      </c>
      <c r="J287" s="11">
        <f t="shared" si="148"/>
        <v>0</v>
      </c>
      <c r="K287" s="11">
        <f t="shared" si="149"/>
        <v>0</v>
      </c>
    </row>
    <row r="288" spans="6:11">
      <c r="F288">
        <v>277</v>
      </c>
      <c r="G288" s="11">
        <f t="shared" si="145"/>
        <v>0</v>
      </c>
      <c r="H288" s="11">
        <f t="shared" si="146"/>
        <v>0</v>
      </c>
      <c r="I288" s="11">
        <f t="shared" si="147"/>
        <v>0</v>
      </c>
      <c r="J288" s="11">
        <f t="shared" si="148"/>
        <v>0</v>
      </c>
      <c r="K288" s="11">
        <f t="shared" si="149"/>
        <v>0</v>
      </c>
    </row>
    <row r="289" spans="6:11">
      <c r="F289">
        <v>278</v>
      </c>
      <c r="G289" s="11">
        <f t="shared" si="145"/>
        <v>0</v>
      </c>
      <c r="H289" s="11">
        <f t="shared" si="146"/>
        <v>0</v>
      </c>
      <c r="I289" s="11">
        <f t="shared" si="147"/>
        <v>0</v>
      </c>
      <c r="J289" s="11">
        <f t="shared" si="148"/>
        <v>0</v>
      </c>
      <c r="K289" s="11">
        <f t="shared" si="149"/>
        <v>0</v>
      </c>
    </row>
    <row r="290" spans="6:11">
      <c r="F290">
        <v>279</v>
      </c>
      <c r="G290" s="11">
        <f t="shared" si="145"/>
        <v>0</v>
      </c>
      <c r="H290" s="11">
        <f t="shared" si="146"/>
        <v>0</v>
      </c>
      <c r="I290" s="11">
        <f t="shared" si="147"/>
        <v>0</v>
      </c>
      <c r="J290" s="11">
        <f t="shared" si="148"/>
        <v>0</v>
      </c>
      <c r="K290" s="11">
        <f t="shared" si="149"/>
        <v>0</v>
      </c>
    </row>
    <row r="291" spans="6:11">
      <c r="F291">
        <v>280</v>
      </c>
      <c r="G291" s="11">
        <f t="shared" si="145"/>
        <v>0</v>
      </c>
      <c r="H291" s="11">
        <f t="shared" si="146"/>
        <v>0</v>
      </c>
      <c r="I291" s="11">
        <f t="shared" si="147"/>
        <v>0</v>
      </c>
      <c r="J291" s="11">
        <f t="shared" si="148"/>
        <v>0</v>
      </c>
      <c r="K291" s="11">
        <f t="shared" si="149"/>
        <v>0</v>
      </c>
    </row>
    <row r="292" spans="6:11">
      <c r="F292">
        <v>281</v>
      </c>
      <c r="G292" s="11">
        <f>K291</f>
        <v>0</v>
      </c>
      <c r="H292" s="11">
        <f>$H$10</f>
        <v>0</v>
      </c>
      <c r="I292" s="11">
        <f>G292*$H$9</f>
        <v>0</v>
      </c>
      <c r="J292" s="11">
        <f>H292-I292</f>
        <v>0</v>
      </c>
      <c r="K292" s="11">
        <f>G292-J292</f>
        <v>0</v>
      </c>
    </row>
    <row r="293" spans="6:11">
      <c r="F293">
        <v>282</v>
      </c>
      <c r="G293" s="11">
        <f t="shared" ref="G293:G305" si="150">K292</f>
        <v>0</v>
      </c>
      <c r="H293" s="11">
        <f t="shared" ref="H293:H305" si="151">$H$10</f>
        <v>0</v>
      </c>
      <c r="I293" s="11">
        <f t="shared" ref="I293:I305" si="152">G293*$H$9</f>
        <v>0</v>
      </c>
      <c r="J293" s="11">
        <f t="shared" ref="J293:J305" si="153">H293-I293</f>
        <v>0</v>
      </c>
      <c r="K293" s="11">
        <f t="shared" ref="K293:K305" si="154">G293-J293</f>
        <v>0</v>
      </c>
    </row>
    <row r="294" spans="6:11">
      <c r="F294">
        <v>283</v>
      </c>
      <c r="G294" s="11">
        <f t="shared" si="150"/>
        <v>0</v>
      </c>
      <c r="H294" s="11">
        <f t="shared" si="151"/>
        <v>0</v>
      </c>
      <c r="I294" s="11">
        <f t="shared" si="152"/>
        <v>0</v>
      </c>
      <c r="J294" s="11">
        <f t="shared" si="153"/>
        <v>0</v>
      </c>
      <c r="K294" s="11">
        <f t="shared" si="154"/>
        <v>0</v>
      </c>
    </row>
    <row r="295" spans="6:11">
      <c r="F295">
        <v>284</v>
      </c>
      <c r="G295" s="11">
        <f t="shared" si="150"/>
        <v>0</v>
      </c>
      <c r="H295" s="11">
        <f t="shared" si="151"/>
        <v>0</v>
      </c>
      <c r="I295" s="11">
        <f t="shared" si="152"/>
        <v>0</v>
      </c>
      <c r="J295" s="11">
        <f t="shared" si="153"/>
        <v>0</v>
      </c>
      <c r="K295" s="11">
        <f t="shared" si="154"/>
        <v>0</v>
      </c>
    </row>
    <row r="296" spans="6:11">
      <c r="F296">
        <v>285</v>
      </c>
      <c r="G296" s="11">
        <f t="shared" si="150"/>
        <v>0</v>
      </c>
      <c r="H296" s="11">
        <f t="shared" si="151"/>
        <v>0</v>
      </c>
      <c r="I296" s="11">
        <f t="shared" si="152"/>
        <v>0</v>
      </c>
      <c r="J296" s="11">
        <f t="shared" si="153"/>
        <v>0</v>
      </c>
      <c r="K296" s="11">
        <f t="shared" si="154"/>
        <v>0</v>
      </c>
    </row>
    <row r="297" spans="6:11">
      <c r="F297">
        <v>286</v>
      </c>
      <c r="G297" s="11">
        <f t="shared" si="150"/>
        <v>0</v>
      </c>
      <c r="H297" s="11">
        <f t="shared" si="151"/>
        <v>0</v>
      </c>
      <c r="I297" s="11">
        <f t="shared" si="152"/>
        <v>0</v>
      </c>
      <c r="J297" s="11">
        <f t="shared" si="153"/>
        <v>0</v>
      </c>
      <c r="K297" s="11">
        <f t="shared" si="154"/>
        <v>0</v>
      </c>
    </row>
    <row r="298" spans="6:11">
      <c r="F298">
        <v>287</v>
      </c>
      <c r="G298" s="11">
        <f t="shared" si="150"/>
        <v>0</v>
      </c>
      <c r="H298" s="11">
        <f t="shared" si="151"/>
        <v>0</v>
      </c>
      <c r="I298" s="11">
        <f t="shared" si="152"/>
        <v>0</v>
      </c>
      <c r="J298" s="11">
        <f t="shared" si="153"/>
        <v>0</v>
      </c>
      <c r="K298" s="11">
        <f t="shared" si="154"/>
        <v>0</v>
      </c>
    </row>
    <row r="299" spans="6:11">
      <c r="F299">
        <v>288</v>
      </c>
      <c r="G299" s="11">
        <f t="shared" si="150"/>
        <v>0</v>
      </c>
      <c r="H299" s="11">
        <f t="shared" si="151"/>
        <v>0</v>
      </c>
      <c r="I299" s="11">
        <f t="shared" si="152"/>
        <v>0</v>
      </c>
      <c r="J299" s="11">
        <f t="shared" si="153"/>
        <v>0</v>
      </c>
      <c r="K299" s="11">
        <f t="shared" si="154"/>
        <v>0</v>
      </c>
    </row>
    <row r="300" spans="6:11">
      <c r="F300">
        <v>289</v>
      </c>
      <c r="G300" s="11">
        <f t="shared" si="150"/>
        <v>0</v>
      </c>
      <c r="H300" s="11">
        <f t="shared" si="151"/>
        <v>0</v>
      </c>
      <c r="I300" s="11">
        <f t="shared" si="152"/>
        <v>0</v>
      </c>
      <c r="J300" s="11">
        <f t="shared" si="153"/>
        <v>0</v>
      </c>
      <c r="K300" s="11">
        <f t="shared" si="154"/>
        <v>0</v>
      </c>
    </row>
    <row r="301" spans="6:11">
      <c r="F301">
        <v>290</v>
      </c>
      <c r="G301" s="11">
        <f t="shared" si="150"/>
        <v>0</v>
      </c>
      <c r="H301" s="11">
        <f t="shared" si="151"/>
        <v>0</v>
      </c>
      <c r="I301" s="11">
        <f t="shared" si="152"/>
        <v>0</v>
      </c>
      <c r="J301" s="11">
        <f t="shared" si="153"/>
        <v>0</v>
      </c>
      <c r="K301" s="11">
        <f t="shared" si="154"/>
        <v>0</v>
      </c>
    </row>
    <row r="302" spans="6:11">
      <c r="F302">
        <v>291</v>
      </c>
      <c r="G302" s="11">
        <f t="shared" si="150"/>
        <v>0</v>
      </c>
      <c r="H302" s="11">
        <f t="shared" si="151"/>
        <v>0</v>
      </c>
      <c r="I302" s="11">
        <f t="shared" si="152"/>
        <v>0</v>
      </c>
      <c r="J302" s="11">
        <f t="shared" si="153"/>
        <v>0</v>
      </c>
      <c r="K302" s="11">
        <f t="shared" si="154"/>
        <v>0</v>
      </c>
    </row>
    <row r="303" spans="6:11">
      <c r="F303">
        <v>292</v>
      </c>
      <c r="G303" s="11">
        <f t="shared" si="150"/>
        <v>0</v>
      </c>
      <c r="H303" s="11">
        <f t="shared" si="151"/>
        <v>0</v>
      </c>
      <c r="I303" s="11">
        <f t="shared" si="152"/>
        <v>0</v>
      </c>
      <c r="J303" s="11">
        <f t="shared" si="153"/>
        <v>0</v>
      </c>
      <c r="K303" s="11">
        <f t="shared" si="154"/>
        <v>0</v>
      </c>
    </row>
    <row r="304" spans="6:11">
      <c r="F304">
        <v>293</v>
      </c>
      <c r="G304" s="11">
        <f t="shared" si="150"/>
        <v>0</v>
      </c>
      <c r="H304" s="11">
        <f t="shared" si="151"/>
        <v>0</v>
      </c>
      <c r="I304" s="11">
        <f t="shared" si="152"/>
        <v>0</v>
      </c>
      <c r="J304" s="11">
        <f t="shared" si="153"/>
        <v>0</v>
      </c>
      <c r="K304" s="11">
        <f t="shared" si="154"/>
        <v>0</v>
      </c>
    </row>
    <row r="305" spans="6:11">
      <c r="F305">
        <v>294</v>
      </c>
      <c r="G305" s="11">
        <f t="shared" si="150"/>
        <v>0</v>
      </c>
      <c r="H305" s="11">
        <f t="shared" si="151"/>
        <v>0</v>
      </c>
      <c r="I305" s="11">
        <f t="shared" si="152"/>
        <v>0</v>
      </c>
      <c r="J305" s="11">
        <f t="shared" si="153"/>
        <v>0</v>
      </c>
      <c r="K305" s="11">
        <f t="shared" si="154"/>
        <v>0</v>
      </c>
    </row>
    <row r="306" spans="6:11">
      <c r="F306">
        <v>295</v>
      </c>
      <c r="G306" s="11">
        <f>K305</f>
        <v>0</v>
      </c>
      <c r="H306" s="11">
        <f>$H$10</f>
        <v>0</v>
      </c>
      <c r="I306" s="11">
        <f>G306*$H$9</f>
        <v>0</v>
      </c>
      <c r="J306" s="11">
        <f>H306-I306</f>
        <v>0</v>
      </c>
      <c r="K306" s="11">
        <f>G306-J306</f>
        <v>0</v>
      </c>
    </row>
    <row r="307" spans="6:11">
      <c r="F307">
        <v>296</v>
      </c>
      <c r="G307" s="11">
        <f t="shared" ref="G307:G321" si="155">K306</f>
        <v>0</v>
      </c>
      <c r="H307" s="11">
        <f t="shared" ref="H307:H321" si="156">$H$10</f>
        <v>0</v>
      </c>
      <c r="I307" s="11">
        <f t="shared" ref="I307:I321" si="157">G307*$H$9</f>
        <v>0</v>
      </c>
      <c r="J307" s="11">
        <f t="shared" ref="J307:J321" si="158">H307-I307</f>
        <v>0</v>
      </c>
      <c r="K307" s="11">
        <f t="shared" ref="K307:K321" si="159">G307-J307</f>
        <v>0</v>
      </c>
    </row>
    <row r="308" spans="6:11">
      <c r="F308">
        <v>297</v>
      </c>
      <c r="G308" s="11">
        <f t="shared" si="155"/>
        <v>0</v>
      </c>
      <c r="H308" s="11">
        <f t="shared" si="156"/>
        <v>0</v>
      </c>
      <c r="I308" s="11">
        <f t="shared" si="157"/>
        <v>0</v>
      </c>
      <c r="J308" s="11">
        <f t="shared" si="158"/>
        <v>0</v>
      </c>
      <c r="K308" s="11">
        <f t="shared" si="159"/>
        <v>0</v>
      </c>
    </row>
    <row r="309" spans="6:11">
      <c r="F309">
        <v>298</v>
      </c>
      <c r="G309" s="11">
        <f t="shared" si="155"/>
        <v>0</v>
      </c>
      <c r="H309" s="11">
        <f t="shared" si="156"/>
        <v>0</v>
      </c>
      <c r="I309" s="11">
        <f t="shared" si="157"/>
        <v>0</v>
      </c>
      <c r="J309" s="11">
        <f t="shared" si="158"/>
        <v>0</v>
      </c>
      <c r="K309" s="11">
        <f t="shared" si="159"/>
        <v>0</v>
      </c>
    </row>
    <row r="310" spans="6:11">
      <c r="F310">
        <v>299</v>
      </c>
      <c r="G310" s="11">
        <f t="shared" si="155"/>
        <v>0</v>
      </c>
      <c r="H310" s="11">
        <f t="shared" si="156"/>
        <v>0</v>
      </c>
      <c r="I310" s="11">
        <f t="shared" si="157"/>
        <v>0</v>
      </c>
      <c r="J310" s="11">
        <f t="shared" si="158"/>
        <v>0</v>
      </c>
      <c r="K310" s="11">
        <f t="shared" si="159"/>
        <v>0</v>
      </c>
    </row>
    <row r="311" spans="6:11">
      <c r="F311">
        <v>300</v>
      </c>
      <c r="G311" s="11">
        <f t="shared" si="155"/>
        <v>0</v>
      </c>
      <c r="H311" s="11">
        <f t="shared" si="156"/>
        <v>0</v>
      </c>
      <c r="I311" s="11">
        <f t="shared" si="157"/>
        <v>0</v>
      </c>
      <c r="J311" s="11">
        <f t="shared" si="158"/>
        <v>0</v>
      </c>
      <c r="K311" s="11">
        <f t="shared" si="159"/>
        <v>0</v>
      </c>
    </row>
    <row r="312" spans="6:11">
      <c r="F312">
        <v>301</v>
      </c>
      <c r="G312" s="11">
        <f t="shared" si="155"/>
        <v>0</v>
      </c>
      <c r="H312" s="11">
        <f t="shared" si="156"/>
        <v>0</v>
      </c>
      <c r="I312" s="11">
        <f t="shared" si="157"/>
        <v>0</v>
      </c>
      <c r="J312" s="11">
        <f t="shared" si="158"/>
        <v>0</v>
      </c>
      <c r="K312" s="11">
        <f t="shared" si="159"/>
        <v>0</v>
      </c>
    </row>
    <row r="313" spans="6:11">
      <c r="F313">
        <v>302</v>
      </c>
      <c r="G313" s="11">
        <f t="shared" si="155"/>
        <v>0</v>
      </c>
      <c r="H313" s="11">
        <f t="shared" si="156"/>
        <v>0</v>
      </c>
      <c r="I313" s="11">
        <f t="shared" si="157"/>
        <v>0</v>
      </c>
      <c r="J313" s="11">
        <f t="shared" si="158"/>
        <v>0</v>
      </c>
      <c r="K313" s="11">
        <f t="shared" si="159"/>
        <v>0</v>
      </c>
    </row>
    <row r="314" spans="6:11">
      <c r="F314">
        <v>303</v>
      </c>
      <c r="G314" s="11">
        <f t="shared" si="155"/>
        <v>0</v>
      </c>
      <c r="H314" s="11">
        <f t="shared" si="156"/>
        <v>0</v>
      </c>
      <c r="I314" s="11">
        <f t="shared" si="157"/>
        <v>0</v>
      </c>
      <c r="J314" s="11">
        <f t="shared" si="158"/>
        <v>0</v>
      </c>
      <c r="K314" s="11">
        <f t="shared" si="159"/>
        <v>0</v>
      </c>
    </row>
    <row r="315" spans="6:11">
      <c r="F315">
        <v>304</v>
      </c>
      <c r="G315" s="11">
        <f t="shared" si="155"/>
        <v>0</v>
      </c>
      <c r="H315" s="11">
        <f t="shared" si="156"/>
        <v>0</v>
      </c>
      <c r="I315" s="11">
        <f t="shared" si="157"/>
        <v>0</v>
      </c>
      <c r="J315" s="11">
        <f t="shared" si="158"/>
        <v>0</v>
      </c>
      <c r="K315" s="11">
        <f t="shared" si="159"/>
        <v>0</v>
      </c>
    </row>
    <row r="316" spans="6:11">
      <c r="F316">
        <v>305</v>
      </c>
      <c r="G316" s="11">
        <f t="shared" si="155"/>
        <v>0</v>
      </c>
      <c r="H316" s="11">
        <f t="shared" si="156"/>
        <v>0</v>
      </c>
      <c r="I316" s="11">
        <f t="shared" si="157"/>
        <v>0</v>
      </c>
      <c r="J316" s="11">
        <f t="shared" si="158"/>
        <v>0</v>
      </c>
      <c r="K316" s="11">
        <f t="shared" si="159"/>
        <v>0</v>
      </c>
    </row>
    <row r="317" spans="6:11">
      <c r="F317">
        <v>306</v>
      </c>
      <c r="G317" s="11">
        <f t="shared" si="155"/>
        <v>0</v>
      </c>
      <c r="H317" s="11">
        <f t="shared" si="156"/>
        <v>0</v>
      </c>
      <c r="I317" s="11">
        <f t="shared" si="157"/>
        <v>0</v>
      </c>
      <c r="J317" s="11">
        <f t="shared" si="158"/>
        <v>0</v>
      </c>
      <c r="K317" s="11">
        <f t="shared" si="159"/>
        <v>0</v>
      </c>
    </row>
    <row r="318" spans="6:11">
      <c r="F318">
        <v>307</v>
      </c>
      <c r="G318" s="11">
        <f t="shared" si="155"/>
        <v>0</v>
      </c>
      <c r="H318" s="11">
        <f t="shared" si="156"/>
        <v>0</v>
      </c>
      <c r="I318" s="11">
        <f t="shared" si="157"/>
        <v>0</v>
      </c>
      <c r="J318" s="11">
        <f t="shared" si="158"/>
        <v>0</v>
      </c>
      <c r="K318" s="11">
        <f t="shared" si="159"/>
        <v>0</v>
      </c>
    </row>
    <row r="319" spans="6:11">
      <c r="F319">
        <v>308</v>
      </c>
      <c r="G319" s="11">
        <f t="shared" si="155"/>
        <v>0</v>
      </c>
      <c r="H319" s="11">
        <f t="shared" si="156"/>
        <v>0</v>
      </c>
      <c r="I319" s="11">
        <f t="shared" si="157"/>
        <v>0</v>
      </c>
      <c r="J319" s="11">
        <f t="shared" si="158"/>
        <v>0</v>
      </c>
      <c r="K319" s="11">
        <f t="shared" si="159"/>
        <v>0</v>
      </c>
    </row>
    <row r="320" spans="6:11">
      <c r="F320">
        <v>309</v>
      </c>
      <c r="G320" s="11">
        <f t="shared" si="155"/>
        <v>0</v>
      </c>
      <c r="H320" s="11">
        <f t="shared" si="156"/>
        <v>0</v>
      </c>
      <c r="I320" s="11">
        <f t="shared" si="157"/>
        <v>0</v>
      </c>
      <c r="J320" s="11">
        <f t="shared" si="158"/>
        <v>0</v>
      </c>
      <c r="K320" s="11">
        <f t="shared" si="159"/>
        <v>0</v>
      </c>
    </row>
    <row r="321" spans="6:11">
      <c r="F321">
        <v>310</v>
      </c>
      <c r="G321" s="11">
        <f t="shared" si="155"/>
        <v>0</v>
      </c>
      <c r="H321" s="11">
        <f t="shared" si="156"/>
        <v>0</v>
      </c>
      <c r="I321" s="11">
        <f t="shared" si="157"/>
        <v>0</v>
      </c>
      <c r="J321" s="11">
        <f t="shared" si="158"/>
        <v>0</v>
      </c>
      <c r="K321" s="11">
        <f t="shared" si="159"/>
        <v>0</v>
      </c>
    </row>
    <row r="322" spans="6:11">
      <c r="F322">
        <v>311</v>
      </c>
      <c r="G322" s="11">
        <f>K321</f>
        <v>0</v>
      </c>
      <c r="H322" s="11">
        <f>$H$10</f>
        <v>0</v>
      </c>
      <c r="I322" s="11">
        <f>G322*$H$9</f>
        <v>0</v>
      </c>
      <c r="J322" s="11">
        <f>H322-I322</f>
        <v>0</v>
      </c>
      <c r="K322" s="11">
        <f>G322-J322</f>
        <v>0</v>
      </c>
    </row>
    <row r="323" spans="6:11">
      <c r="F323">
        <v>312</v>
      </c>
      <c r="G323" s="11">
        <f t="shared" ref="G323:G331" si="160">K322</f>
        <v>0</v>
      </c>
      <c r="H323" s="11">
        <f t="shared" ref="H323:H331" si="161">$H$10</f>
        <v>0</v>
      </c>
      <c r="I323" s="11">
        <f t="shared" ref="I323:I331" si="162">G323*$H$9</f>
        <v>0</v>
      </c>
      <c r="J323" s="11">
        <f t="shared" ref="J323:J331" si="163">H323-I323</f>
        <v>0</v>
      </c>
      <c r="K323" s="11">
        <f t="shared" ref="K323:K331" si="164">G323-J323</f>
        <v>0</v>
      </c>
    </row>
    <row r="324" spans="6:11">
      <c r="F324">
        <v>313</v>
      </c>
      <c r="G324" s="11">
        <f t="shared" si="160"/>
        <v>0</v>
      </c>
      <c r="H324" s="11">
        <f t="shared" si="161"/>
        <v>0</v>
      </c>
      <c r="I324" s="11">
        <f t="shared" si="162"/>
        <v>0</v>
      </c>
      <c r="J324" s="11">
        <f t="shared" si="163"/>
        <v>0</v>
      </c>
      <c r="K324" s="11">
        <f t="shared" si="164"/>
        <v>0</v>
      </c>
    </row>
    <row r="325" spans="6:11">
      <c r="F325">
        <v>314</v>
      </c>
      <c r="G325" s="11">
        <f t="shared" si="160"/>
        <v>0</v>
      </c>
      <c r="H325" s="11">
        <f t="shared" si="161"/>
        <v>0</v>
      </c>
      <c r="I325" s="11">
        <f t="shared" si="162"/>
        <v>0</v>
      </c>
      <c r="J325" s="11">
        <f t="shared" si="163"/>
        <v>0</v>
      </c>
      <c r="K325" s="11">
        <f t="shared" si="164"/>
        <v>0</v>
      </c>
    </row>
    <row r="326" spans="6:11">
      <c r="F326">
        <v>315</v>
      </c>
      <c r="G326" s="11">
        <f t="shared" si="160"/>
        <v>0</v>
      </c>
      <c r="H326" s="11">
        <f t="shared" si="161"/>
        <v>0</v>
      </c>
      <c r="I326" s="11">
        <f t="shared" si="162"/>
        <v>0</v>
      </c>
      <c r="J326" s="11">
        <f t="shared" si="163"/>
        <v>0</v>
      </c>
      <c r="K326" s="11">
        <f t="shared" si="164"/>
        <v>0</v>
      </c>
    </row>
    <row r="327" spans="6:11">
      <c r="F327">
        <v>316</v>
      </c>
      <c r="G327" s="11">
        <f t="shared" si="160"/>
        <v>0</v>
      </c>
      <c r="H327" s="11">
        <f t="shared" si="161"/>
        <v>0</v>
      </c>
      <c r="I327" s="11">
        <f t="shared" si="162"/>
        <v>0</v>
      </c>
      <c r="J327" s="11">
        <f t="shared" si="163"/>
        <v>0</v>
      </c>
      <c r="K327" s="11">
        <f t="shared" si="164"/>
        <v>0</v>
      </c>
    </row>
    <row r="328" spans="6:11">
      <c r="F328">
        <v>317</v>
      </c>
      <c r="G328" s="11">
        <f t="shared" si="160"/>
        <v>0</v>
      </c>
      <c r="H328" s="11">
        <f t="shared" si="161"/>
        <v>0</v>
      </c>
      <c r="I328" s="11">
        <f t="shared" si="162"/>
        <v>0</v>
      </c>
      <c r="J328" s="11">
        <f t="shared" si="163"/>
        <v>0</v>
      </c>
      <c r="K328" s="11">
        <f t="shared" si="164"/>
        <v>0</v>
      </c>
    </row>
    <row r="329" spans="6:11">
      <c r="F329">
        <v>318</v>
      </c>
      <c r="G329" s="11">
        <f t="shared" si="160"/>
        <v>0</v>
      </c>
      <c r="H329" s="11">
        <f t="shared" si="161"/>
        <v>0</v>
      </c>
      <c r="I329" s="11">
        <f t="shared" si="162"/>
        <v>0</v>
      </c>
      <c r="J329" s="11">
        <f t="shared" si="163"/>
        <v>0</v>
      </c>
      <c r="K329" s="11">
        <f t="shared" si="164"/>
        <v>0</v>
      </c>
    </row>
    <row r="330" spans="6:11">
      <c r="F330">
        <v>319</v>
      </c>
      <c r="G330" s="11">
        <f t="shared" si="160"/>
        <v>0</v>
      </c>
      <c r="H330" s="11">
        <f t="shared" si="161"/>
        <v>0</v>
      </c>
      <c r="I330" s="11">
        <f t="shared" si="162"/>
        <v>0</v>
      </c>
      <c r="J330" s="11">
        <f t="shared" si="163"/>
        <v>0</v>
      </c>
      <c r="K330" s="11">
        <f t="shared" si="164"/>
        <v>0</v>
      </c>
    </row>
    <row r="331" spans="6:11">
      <c r="F331">
        <v>320</v>
      </c>
      <c r="G331" s="11">
        <f t="shared" si="160"/>
        <v>0</v>
      </c>
      <c r="H331" s="11">
        <f t="shared" si="161"/>
        <v>0</v>
      </c>
      <c r="I331" s="11">
        <f t="shared" si="162"/>
        <v>0</v>
      </c>
      <c r="J331" s="11">
        <f t="shared" si="163"/>
        <v>0</v>
      </c>
      <c r="K331" s="11">
        <f t="shared" si="164"/>
        <v>0</v>
      </c>
    </row>
    <row r="332" spans="6:11">
      <c r="F332">
        <v>321</v>
      </c>
      <c r="G332" s="11">
        <f>K331</f>
        <v>0</v>
      </c>
      <c r="H332" s="11">
        <f>$H$10</f>
        <v>0</v>
      </c>
      <c r="I332" s="11">
        <f>G332*$H$9</f>
        <v>0</v>
      </c>
      <c r="J332" s="11">
        <f>H332-I332</f>
        <v>0</v>
      </c>
      <c r="K332" s="11">
        <f>G332-J332</f>
        <v>0</v>
      </c>
    </row>
    <row r="333" spans="6:11">
      <c r="F333">
        <v>322</v>
      </c>
      <c r="G333" s="11">
        <f t="shared" ref="G333:G343" si="165">K332</f>
        <v>0</v>
      </c>
      <c r="H333" s="11">
        <f t="shared" ref="H333:H343" si="166">$H$10</f>
        <v>0</v>
      </c>
      <c r="I333" s="11">
        <f t="shared" ref="I333:I343" si="167">G333*$H$9</f>
        <v>0</v>
      </c>
      <c r="J333" s="11">
        <f t="shared" ref="J333:J343" si="168">H333-I333</f>
        <v>0</v>
      </c>
      <c r="K333" s="11">
        <f t="shared" ref="K333:K343" si="169">G333-J333</f>
        <v>0</v>
      </c>
    </row>
    <row r="334" spans="6:11">
      <c r="F334">
        <v>323</v>
      </c>
      <c r="G334" s="11">
        <f t="shared" si="165"/>
        <v>0</v>
      </c>
      <c r="H334" s="11">
        <f t="shared" si="166"/>
        <v>0</v>
      </c>
      <c r="I334" s="11">
        <f t="shared" si="167"/>
        <v>0</v>
      </c>
      <c r="J334" s="11">
        <f t="shared" si="168"/>
        <v>0</v>
      </c>
      <c r="K334" s="11">
        <f t="shared" si="169"/>
        <v>0</v>
      </c>
    </row>
    <row r="335" spans="6:11">
      <c r="F335">
        <v>324</v>
      </c>
      <c r="G335" s="11">
        <f t="shared" si="165"/>
        <v>0</v>
      </c>
      <c r="H335" s="11">
        <f t="shared" si="166"/>
        <v>0</v>
      </c>
      <c r="I335" s="11">
        <f t="shared" si="167"/>
        <v>0</v>
      </c>
      <c r="J335" s="11">
        <f t="shared" si="168"/>
        <v>0</v>
      </c>
      <c r="K335" s="11">
        <f t="shared" si="169"/>
        <v>0</v>
      </c>
    </row>
    <row r="336" spans="6:11">
      <c r="F336">
        <v>325</v>
      </c>
      <c r="G336" s="11">
        <f t="shared" si="165"/>
        <v>0</v>
      </c>
      <c r="H336" s="11">
        <f t="shared" si="166"/>
        <v>0</v>
      </c>
      <c r="I336" s="11">
        <f t="shared" si="167"/>
        <v>0</v>
      </c>
      <c r="J336" s="11">
        <f t="shared" si="168"/>
        <v>0</v>
      </c>
      <c r="K336" s="11">
        <f t="shared" si="169"/>
        <v>0</v>
      </c>
    </row>
    <row r="337" spans="6:11">
      <c r="F337">
        <v>326</v>
      </c>
      <c r="G337" s="11">
        <f t="shared" si="165"/>
        <v>0</v>
      </c>
      <c r="H337" s="11">
        <f t="shared" si="166"/>
        <v>0</v>
      </c>
      <c r="I337" s="11">
        <f t="shared" si="167"/>
        <v>0</v>
      </c>
      <c r="J337" s="11">
        <f t="shared" si="168"/>
        <v>0</v>
      </c>
      <c r="K337" s="11">
        <f t="shared" si="169"/>
        <v>0</v>
      </c>
    </row>
    <row r="338" spans="6:11">
      <c r="F338">
        <v>327</v>
      </c>
      <c r="G338" s="11">
        <f t="shared" si="165"/>
        <v>0</v>
      </c>
      <c r="H338" s="11">
        <f t="shared" si="166"/>
        <v>0</v>
      </c>
      <c r="I338" s="11">
        <f t="shared" si="167"/>
        <v>0</v>
      </c>
      <c r="J338" s="11">
        <f t="shared" si="168"/>
        <v>0</v>
      </c>
      <c r="K338" s="11">
        <f t="shared" si="169"/>
        <v>0</v>
      </c>
    </row>
    <row r="339" spans="6:11">
      <c r="F339">
        <v>328</v>
      </c>
      <c r="G339" s="11">
        <f t="shared" si="165"/>
        <v>0</v>
      </c>
      <c r="H339" s="11">
        <f t="shared" si="166"/>
        <v>0</v>
      </c>
      <c r="I339" s="11">
        <f t="shared" si="167"/>
        <v>0</v>
      </c>
      <c r="J339" s="11">
        <f t="shared" si="168"/>
        <v>0</v>
      </c>
      <c r="K339" s="11">
        <f t="shared" si="169"/>
        <v>0</v>
      </c>
    </row>
    <row r="340" spans="6:11">
      <c r="F340">
        <v>329</v>
      </c>
      <c r="G340" s="11">
        <f t="shared" si="165"/>
        <v>0</v>
      </c>
      <c r="H340" s="11">
        <f t="shared" si="166"/>
        <v>0</v>
      </c>
      <c r="I340" s="11">
        <f t="shared" si="167"/>
        <v>0</v>
      </c>
      <c r="J340" s="11">
        <f t="shared" si="168"/>
        <v>0</v>
      </c>
      <c r="K340" s="11">
        <f t="shared" si="169"/>
        <v>0</v>
      </c>
    </row>
    <row r="341" spans="6:11">
      <c r="F341">
        <v>330</v>
      </c>
      <c r="G341" s="11">
        <f t="shared" si="165"/>
        <v>0</v>
      </c>
      <c r="H341" s="11">
        <f t="shared" si="166"/>
        <v>0</v>
      </c>
      <c r="I341" s="11">
        <f t="shared" si="167"/>
        <v>0</v>
      </c>
      <c r="J341" s="11">
        <f t="shared" si="168"/>
        <v>0</v>
      </c>
      <c r="K341" s="11">
        <f t="shared" si="169"/>
        <v>0</v>
      </c>
    </row>
    <row r="342" spans="6:11">
      <c r="F342">
        <v>331</v>
      </c>
      <c r="G342" s="11">
        <f t="shared" si="165"/>
        <v>0</v>
      </c>
      <c r="H342" s="11">
        <f t="shared" si="166"/>
        <v>0</v>
      </c>
      <c r="I342" s="11">
        <f t="shared" si="167"/>
        <v>0</v>
      </c>
      <c r="J342" s="11">
        <f t="shared" si="168"/>
        <v>0</v>
      </c>
      <c r="K342" s="11">
        <f t="shared" si="169"/>
        <v>0</v>
      </c>
    </row>
    <row r="343" spans="6:11">
      <c r="F343">
        <v>332</v>
      </c>
      <c r="G343" s="11">
        <f t="shared" si="165"/>
        <v>0</v>
      </c>
      <c r="H343" s="11">
        <f t="shared" si="166"/>
        <v>0</v>
      </c>
      <c r="I343" s="11">
        <f t="shared" si="167"/>
        <v>0</v>
      </c>
      <c r="J343" s="11">
        <f t="shared" si="168"/>
        <v>0</v>
      </c>
      <c r="K343" s="11">
        <f t="shared" si="169"/>
        <v>0</v>
      </c>
    </row>
    <row r="344" spans="6:11">
      <c r="F344">
        <v>333</v>
      </c>
      <c r="G344" s="11">
        <f>K343</f>
        <v>0</v>
      </c>
      <c r="H344" s="11">
        <f>$H$10</f>
        <v>0</v>
      </c>
      <c r="I344" s="11">
        <f>G344*$H$9</f>
        <v>0</v>
      </c>
      <c r="J344" s="11">
        <f>H344-I344</f>
        <v>0</v>
      </c>
      <c r="K344" s="11">
        <f>G344-J344</f>
        <v>0</v>
      </c>
    </row>
    <row r="345" spans="6:11">
      <c r="F345">
        <v>334</v>
      </c>
      <c r="G345" s="11">
        <f t="shared" ref="G345:G358" si="170">K344</f>
        <v>0</v>
      </c>
      <c r="H345" s="11">
        <f t="shared" ref="H345:H358" si="171">$H$10</f>
        <v>0</v>
      </c>
      <c r="I345" s="11">
        <f t="shared" ref="I345:I358" si="172">G345*$H$9</f>
        <v>0</v>
      </c>
      <c r="J345" s="11">
        <f t="shared" ref="J345:J358" si="173">H345-I345</f>
        <v>0</v>
      </c>
      <c r="K345" s="11">
        <f t="shared" ref="K345:K358" si="174">G345-J345</f>
        <v>0</v>
      </c>
    </row>
    <row r="346" spans="6:11">
      <c r="F346">
        <v>335</v>
      </c>
      <c r="G346" s="11">
        <f t="shared" si="170"/>
        <v>0</v>
      </c>
      <c r="H346" s="11">
        <f t="shared" si="171"/>
        <v>0</v>
      </c>
      <c r="I346" s="11">
        <f t="shared" si="172"/>
        <v>0</v>
      </c>
      <c r="J346" s="11">
        <f t="shared" si="173"/>
        <v>0</v>
      </c>
      <c r="K346" s="11">
        <f t="shared" si="174"/>
        <v>0</v>
      </c>
    </row>
    <row r="347" spans="6:11">
      <c r="F347">
        <v>336</v>
      </c>
      <c r="G347" s="11">
        <f t="shared" si="170"/>
        <v>0</v>
      </c>
      <c r="H347" s="11">
        <f t="shared" si="171"/>
        <v>0</v>
      </c>
      <c r="I347" s="11">
        <f t="shared" si="172"/>
        <v>0</v>
      </c>
      <c r="J347" s="11">
        <f t="shared" si="173"/>
        <v>0</v>
      </c>
      <c r="K347" s="11">
        <f t="shared" si="174"/>
        <v>0</v>
      </c>
    </row>
    <row r="348" spans="6:11">
      <c r="F348">
        <v>337</v>
      </c>
      <c r="G348" s="11">
        <f t="shared" si="170"/>
        <v>0</v>
      </c>
      <c r="H348" s="11">
        <f t="shared" si="171"/>
        <v>0</v>
      </c>
      <c r="I348" s="11">
        <f t="shared" si="172"/>
        <v>0</v>
      </c>
      <c r="J348" s="11">
        <f t="shared" si="173"/>
        <v>0</v>
      </c>
      <c r="K348" s="11">
        <f t="shared" si="174"/>
        <v>0</v>
      </c>
    </row>
    <row r="349" spans="6:11">
      <c r="F349">
        <v>338</v>
      </c>
      <c r="G349" s="11">
        <f t="shared" si="170"/>
        <v>0</v>
      </c>
      <c r="H349" s="11">
        <f t="shared" si="171"/>
        <v>0</v>
      </c>
      <c r="I349" s="11">
        <f t="shared" si="172"/>
        <v>0</v>
      </c>
      <c r="J349" s="11">
        <f t="shared" si="173"/>
        <v>0</v>
      </c>
      <c r="K349" s="11">
        <f t="shared" si="174"/>
        <v>0</v>
      </c>
    </row>
    <row r="350" spans="6:11">
      <c r="F350">
        <v>339</v>
      </c>
      <c r="G350" s="11">
        <f t="shared" si="170"/>
        <v>0</v>
      </c>
      <c r="H350" s="11">
        <f t="shared" si="171"/>
        <v>0</v>
      </c>
      <c r="I350" s="11">
        <f t="shared" si="172"/>
        <v>0</v>
      </c>
      <c r="J350" s="11">
        <f t="shared" si="173"/>
        <v>0</v>
      </c>
      <c r="K350" s="11">
        <f t="shared" si="174"/>
        <v>0</v>
      </c>
    </row>
    <row r="351" spans="6:11">
      <c r="F351">
        <v>340</v>
      </c>
      <c r="G351" s="11">
        <f t="shared" si="170"/>
        <v>0</v>
      </c>
      <c r="H351" s="11">
        <f t="shared" si="171"/>
        <v>0</v>
      </c>
      <c r="I351" s="11">
        <f t="shared" si="172"/>
        <v>0</v>
      </c>
      <c r="J351" s="11">
        <f t="shared" si="173"/>
        <v>0</v>
      </c>
      <c r="K351" s="11">
        <f t="shared" si="174"/>
        <v>0</v>
      </c>
    </row>
    <row r="352" spans="6:11">
      <c r="F352">
        <v>341</v>
      </c>
      <c r="G352" s="11">
        <f t="shared" si="170"/>
        <v>0</v>
      </c>
      <c r="H352" s="11">
        <f t="shared" si="171"/>
        <v>0</v>
      </c>
      <c r="I352" s="11">
        <f t="shared" si="172"/>
        <v>0</v>
      </c>
      <c r="J352" s="11">
        <f t="shared" si="173"/>
        <v>0</v>
      </c>
      <c r="K352" s="11">
        <f t="shared" si="174"/>
        <v>0</v>
      </c>
    </row>
    <row r="353" spans="6:11">
      <c r="F353">
        <v>342</v>
      </c>
      <c r="G353" s="11">
        <f t="shared" si="170"/>
        <v>0</v>
      </c>
      <c r="H353" s="11">
        <f t="shared" si="171"/>
        <v>0</v>
      </c>
      <c r="I353" s="11">
        <f t="shared" si="172"/>
        <v>0</v>
      </c>
      <c r="J353" s="11">
        <f t="shared" si="173"/>
        <v>0</v>
      </c>
      <c r="K353" s="11">
        <f t="shared" si="174"/>
        <v>0</v>
      </c>
    </row>
    <row r="354" spans="6:11">
      <c r="F354">
        <v>343</v>
      </c>
      <c r="G354" s="11">
        <f t="shared" si="170"/>
        <v>0</v>
      </c>
      <c r="H354" s="11">
        <f t="shared" si="171"/>
        <v>0</v>
      </c>
      <c r="I354" s="11">
        <f t="shared" si="172"/>
        <v>0</v>
      </c>
      <c r="J354" s="11">
        <f t="shared" si="173"/>
        <v>0</v>
      </c>
      <c r="K354" s="11">
        <f t="shared" si="174"/>
        <v>0</v>
      </c>
    </row>
    <row r="355" spans="6:11">
      <c r="F355">
        <v>344</v>
      </c>
      <c r="G355" s="11">
        <f t="shared" si="170"/>
        <v>0</v>
      </c>
      <c r="H355" s="11">
        <f t="shared" si="171"/>
        <v>0</v>
      </c>
      <c r="I355" s="11">
        <f t="shared" si="172"/>
        <v>0</v>
      </c>
      <c r="J355" s="11">
        <f t="shared" si="173"/>
        <v>0</v>
      </c>
      <c r="K355" s="11">
        <f t="shared" si="174"/>
        <v>0</v>
      </c>
    </row>
    <row r="356" spans="6:11">
      <c r="F356">
        <v>345</v>
      </c>
      <c r="G356" s="11">
        <f t="shared" si="170"/>
        <v>0</v>
      </c>
      <c r="H356" s="11">
        <f t="shared" si="171"/>
        <v>0</v>
      </c>
      <c r="I356" s="11">
        <f t="shared" si="172"/>
        <v>0</v>
      </c>
      <c r="J356" s="11">
        <f t="shared" si="173"/>
        <v>0</v>
      </c>
      <c r="K356" s="11">
        <f t="shared" si="174"/>
        <v>0</v>
      </c>
    </row>
    <row r="357" spans="6:11">
      <c r="F357">
        <v>346</v>
      </c>
      <c r="G357" s="11">
        <f t="shared" si="170"/>
        <v>0</v>
      </c>
      <c r="H357" s="11">
        <f t="shared" si="171"/>
        <v>0</v>
      </c>
      <c r="I357" s="11">
        <f t="shared" si="172"/>
        <v>0</v>
      </c>
      <c r="J357" s="11">
        <f t="shared" si="173"/>
        <v>0</v>
      </c>
      <c r="K357" s="11">
        <f t="shared" si="174"/>
        <v>0</v>
      </c>
    </row>
    <row r="358" spans="6:11">
      <c r="F358">
        <v>347</v>
      </c>
      <c r="G358" s="11">
        <f t="shared" si="170"/>
        <v>0</v>
      </c>
      <c r="H358" s="11">
        <f t="shared" si="171"/>
        <v>0</v>
      </c>
      <c r="I358" s="11">
        <f t="shared" si="172"/>
        <v>0</v>
      </c>
      <c r="J358" s="11">
        <f t="shared" si="173"/>
        <v>0</v>
      </c>
      <c r="K358" s="11">
        <f t="shared" si="174"/>
        <v>0</v>
      </c>
    </row>
    <row r="359" spans="6:11">
      <c r="F359">
        <v>348</v>
      </c>
      <c r="G359" s="11">
        <f>K358</f>
        <v>0</v>
      </c>
      <c r="H359" s="11">
        <f>$H$10</f>
        <v>0</v>
      </c>
      <c r="I359" s="11">
        <f>G359*$H$9</f>
        <v>0</v>
      </c>
      <c r="J359" s="11">
        <f>H359-I359</f>
        <v>0</v>
      </c>
      <c r="K359" s="11">
        <f>G359-J359</f>
        <v>0</v>
      </c>
    </row>
    <row r="360" spans="6:11">
      <c r="F360">
        <v>349</v>
      </c>
      <c r="G360" s="11">
        <f t="shared" ref="G360:G371" si="175">K359</f>
        <v>0</v>
      </c>
      <c r="H360" s="11">
        <f t="shared" ref="H360:H371" si="176">$H$10</f>
        <v>0</v>
      </c>
      <c r="I360" s="11">
        <f t="shared" ref="I360:I371" si="177">G360*$H$9</f>
        <v>0</v>
      </c>
      <c r="J360" s="11">
        <f t="shared" ref="J360:J371" si="178">H360-I360</f>
        <v>0</v>
      </c>
      <c r="K360" s="11">
        <f t="shared" ref="K360:K371" si="179">G360-J360</f>
        <v>0</v>
      </c>
    </row>
    <row r="361" spans="6:11">
      <c r="F361">
        <v>350</v>
      </c>
      <c r="G361" s="11">
        <f t="shared" si="175"/>
        <v>0</v>
      </c>
      <c r="H361" s="11">
        <f t="shared" si="176"/>
        <v>0</v>
      </c>
      <c r="I361" s="11">
        <f t="shared" si="177"/>
        <v>0</v>
      </c>
      <c r="J361" s="11">
        <f t="shared" si="178"/>
        <v>0</v>
      </c>
      <c r="K361" s="11">
        <f t="shared" si="179"/>
        <v>0</v>
      </c>
    </row>
    <row r="362" spans="6:11">
      <c r="F362">
        <v>351</v>
      </c>
      <c r="G362" s="11">
        <f t="shared" si="175"/>
        <v>0</v>
      </c>
      <c r="H362" s="11">
        <f t="shared" si="176"/>
        <v>0</v>
      </c>
      <c r="I362" s="11">
        <f t="shared" si="177"/>
        <v>0</v>
      </c>
      <c r="J362" s="11">
        <f t="shared" si="178"/>
        <v>0</v>
      </c>
      <c r="K362" s="11">
        <f t="shared" si="179"/>
        <v>0</v>
      </c>
    </row>
    <row r="363" spans="6:11">
      <c r="F363">
        <v>352</v>
      </c>
      <c r="G363" s="11">
        <f t="shared" si="175"/>
        <v>0</v>
      </c>
      <c r="H363" s="11">
        <f t="shared" si="176"/>
        <v>0</v>
      </c>
      <c r="I363" s="11">
        <f t="shared" si="177"/>
        <v>0</v>
      </c>
      <c r="J363" s="11">
        <f t="shared" si="178"/>
        <v>0</v>
      </c>
      <c r="K363" s="11">
        <f t="shared" si="179"/>
        <v>0</v>
      </c>
    </row>
    <row r="364" spans="6:11">
      <c r="F364">
        <v>353</v>
      </c>
      <c r="G364" s="11">
        <f t="shared" si="175"/>
        <v>0</v>
      </c>
      <c r="H364" s="11">
        <f t="shared" si="176"/>
        <v>0</v>
      </c>
      <c r="I364" s="11">
        <f t="shared" si="177"/>
        <v>0</v>
      </c>
      <c r="J364" s="11">
        <f t="shared" si="178"/>
        <v>0</v>
      </c>
      <c r="K364" s="11">
        <f t="shared" si="179"/>
        <v>0</v>
      </c>
    </row>
    <row r="365" spans="6:11">
      <c r="F365">
        <v>354</v>
      </c>
      <c r="G365" s="11">
        <f t="shared" si="175"/>
        <v>0</v>
      </c>
      <c r="H365" s="11">
        <f t="shared" si="176"/>
        <v>0</v>
      </c>
      <c r="I365" s="11">
        <f t="shared" si="177"/>
        <v>0</v>
      </c>
      <c r="J365" s="11">
        <f t="shared" si="178"/>
        <v>0</v>
      </c>
      <c r="K365" s="11">
        <f t="shared" si="179"/>
        <v>0</v>
      </c>
    </row>
    <row r="366" spans="6:11">
      <c r="F366">
        <v>355</v>
      </c>
      <c r="G366" s="11">
        <f t="shared" si="175"/>
        <v>0</v>
      </c>
      <c r="H366" s="11">
        <f t="shared" si="176"/>
        <v>0</v>
      </c>
      <c r="I366" s="11">
        <f t="shared" si="177"/>
        <v>0</v>
      </c>
      <c r="J366" s="11">
        <f t="shared" si="178"/>
        <v>0</v>
      </c>
      <c r="K366" s="11">
        <f t="shared" si="179"/>
        <v>0</v>
      </c>
    </row>
    <row r="367" spans="6:11">
      <c r="F367">
        <v>356</v>
      </c>
      <c r="G367" s="11">
        <f t="shared" si="175"/>
        <v>0</v>
      </c>
      <c r="H367" s="11">
        <f t="shared" si="176"/>
        <v>0</v>
      </c>
      <c r="I367" s="11">
        <f t="shared" si="177"/>
        <v>0</v>
      </c>
      <c r="J367" s="11">
        <f t="shared" si="178"/>
        <v>0</v>
      </c>
      <c r="K367" s="11">
        <f t="shared" si="179"/>
        <v>0</v>
      </c>
    </row>
    <row r="368" spans="6:11">
      <c r="F368">
        <v>357</v>
      </c>
      <c r="G368" s="11">
        <f t="shared" si="175"/>
        <v>0</v>
      </c>
      <c r="H368" s="11">
        <f t="shared" si="176"/>
        <v>0</v>
      </c>
      <c r="I368" s="11">
        <f t="shared" si="177"/>
        <v>0</v>
      </c>
      <c r="J368" s="11">
        <f t="shared" si="178"/>
        <v>0</v>
      </c>
      <c r="K368" s="11">
        <f t="shared" si="179"/>
        <v>0</v>
      </c>
    </row>
    <row r="369" spans="6:11">
      <c r="F369">
        <v>358</v>
      </c>
      <c r="G369" s="11">
        <f t="shared" si="175"/>
        <v>0</v>
      </c>
      <c r="H369" s="11">
        <f t="shared" si="176"/>
        <v>0</v>
      </c>
      <c r="I369" s="11">
        <f t="shared" si="177"/>
        <v>0</v>
      </c>
      <c r="J369" s="11">
        <f t="shared" si="178"/>
        <v>0</v>
      </c>
      <c r="K369" s="11">
        <f t="shared" si="179"/>
        <v>0</v>
      </c>
    </row>
    <row r="370" spans="6:11">
      <c r="F370">
        <v>359</v>
      </c>
      <c r="G370" s="11">
        <f t="shared" si="175"/>
        <v>0</v>
      </c>
      <c r="H370" s="11">
        <f t="shared" si="176"/>
        <v>0</v>
      </c>
      <c r="I370" s="11">
        <f t="shared" si="177"/>
        <v>0</v>
      </c>
      <c r="J370" s="11">
        <f t="shared" si="178"/>
        <v>0</v>
      </c>
      <c r="K370" s="11">
        <f t="shared" si="179"/>
        <v>0</v>
      </c>
    </row>
    <row r="371" spans="6:11">
      <c r="F371">
        <v>360</v>
      </c>
      <c r="G371" s="11">
        <f t="shared" si="175"/>
        <v>0</v>
      </c>
      <c r="H371" s="11">
        <f t="shared" si="176"/>
        <v>0</v>
      </c>
      <c r="I371" s="11">
        <f t="shared" si="177"/>
        <v>0</v>
      </c>
      <c r="J371" s="11">
        <f t="shared" si="178"/>
        <v>0</v>
      </c>
      <c r="K371" s="11">
        <f t="shared" si="179"/>
        <v>0</v>
      </c>
    </row>
    <row r="372" spans="6:11">
      <c r="I372" s="4">
        <f>SUM(I12:I371)</f>
        <v>0</v>
      </c>
      <c r="J372" s="4">
        <f>SUM(J12:J371)</f>
        <v>0</v>
      </c>
    </row>
    <row r="374" spans="6:11">
      <c r="G374" t="s">
        <v>59</v>
      </c>
      <c r="I374" s="4">
        <f>I372+J372</f>
        <v>0</v>
      </c>
    </row>
  </sheetData>
  <mergeCells count="2">
    <mergeCell ref="A14:B14"/>
    <mergeCell ref="G1:I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FV</vt:lpstr>
      <vt:lpstr>Bond Valuation </vt:lpstr>
      <vt:lpstr>DCF </vt:lpstr>
      <vt:lpstr>Sensitive Analysis</vt:lpstr>
      <vt:lpstr>Retirement Savings</vt:lpstr>
      <vt:lpstr>Mortgage Calculator 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linh pham</dc:creator>
  <cp:lastModifiedBy>linh pham</cp:lastModifiedBy>
  <dcterms:created xsi:type="dcterms:W3CDTF">2017-07-22T02:27:00Z</dcterms:created>
  <dcterms:modified xsi:type="dcterms:W3CDTF">2018-09-29T20:10:21Z</dcterms:modified>
</cp:coreProperties>
</file>